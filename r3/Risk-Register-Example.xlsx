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17"/>
  <workbookPr autoCompressPictures="0"/>
  <mc:AlternateContent xmlns:mc="http://schemas.openxmlformats.org/markup-compatibility/2006">
    <mc:Choice Requires="x15">
      <x15ac:absPath xmlns:x15ac="http://schemas.microsoft.com/office/spreadsheetml/2010/11/ac" url="https://temahau-my.sharepoint.com/personal/kirbyt1_student_eit_ac_nz/Documents/BCS/Iteration 3/"/>
    </mc:Choice>
  </mc:AlternateContent>
  <xr:revisionPtr revIDLastSave="503" documentId="13_ncr:1_{D0CCA8F2-F76F-4473-A2E5-D1B770EFE40F}" xr6:coauthVersionLast="47" xr6:coauthVersionMax="47" xr10:uidLastSave="{5459D21B-EB80-4A85-B920-41A9EB31B436}"/>
  <bookViews>
    <workbookView xWindow="-120" yWindow="-120" windowWidth="29040" windowHeight="15720" tabRatio="500" firstSheet="1" activeTab="1" xr2:uid="{00000000-000D-0000-FFFF-FFFF00000000}"/>
  </bookViews>
  <sheets>
    <sheet name="Example risk register" sheetId="8" r:id="rId1"/>
    <sheet name="BLANK - Risk Reg" sheetId="6" r:id="rId2"/>
    <sheet name="Dropdown Keys – DO NOT DELETE –" sheetId="7" r:id="rId3"/>
  </sheets>
  <externalReferences>
    <externalReference r:id="rId4"/>
  </externalReferences>
  <definedNames>
    <definedName name="_xlnm.Print_Area" localSheetId="1">'BLANK - Risk Reg'!$B$4:$N$15</definedName>
    <definedName name="_xlnm.Print_Area" localSheetId="0">'Example risk register'!$B$5:$N$18</definedName>
    <definedName name="Type" localSheetId="2">'[1]Maintenance Work Order'!#REF!</definedName>
    <definedName name="Type">'[1]Maintenance Work Order'!#REF!</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6" i="6" l="1"/>
  <c r="B7" i="6"/>
  <c r="B8" i="6"/>
  <c r="B9" i="6"/>
  <c r="B10" i="6"/>
  <c r="B11" i="6"/>
  <c r="B12" i="6"/>
  <c r="B13" i="6"/>
  <c r="B14" i="6"/>
  <c r="B15" i="6"/>
  <c r="H6" i="8"/>
  <c r="H7" i="8"/>
  <c r="H8" i="8"/>
  <c r="H9" i="8"/>
  <c r="H18" i="8"/>
  <c r="H17" i="8"/>
  <c r="H16" i="8"/>
  <c r="H15" i="8"/>
  <c r="H14" i="8"/>
  <c r="H13" i="8"/>
  <c r="H12" i="8"/>
  <c r="H11" i="8"/>
  <c r="H10" i="8"/>
  <c r="H15" i="6"/>
  <c r="H14" i="6"/>
  <c r="H13" i="6"/>
  <c r="H12" i="6"/>
  <c r="H11" i="6"/>
  <c r="H10" i="6"/>
  <c r="H9" i="6"/>
  <c r="H8" i="6"/>
  <c r="H7" i="6"/>
  <c r="H6" i="6"/>
  <c r="H5" i="6"/>
  <c r="H3" i="7"/>
  <c r="I3" i="7"/>
  <c r="J3" i="7"/>
  <c r="K3" i="7"/>
  <c r="L3" i="7"/>
  <c r="H4" i="7"/>
  <c r="I4" i="7"/>
  <c r="J4" i="7"/>
  <c r="K4" i="7"/>
  <c r="L4" i="7"/>
  <c r="H5" i="7"/>
  <c r="I5" i="7"/>
  <c r="J5" i="7"/>
  <c r="K5" i="7"/>
  <c r="L5" i="7"/>
  <c r="H6" i="7"/>
  <c r="I6" i="7"/>
  <c r="J6" i="7"/>
  <c r="K6" i="7"/>
  <c r="L6" i="7"/>
  <c r="H7" i="7"/>
  <c r="I7" i="7"/>
  <c r="J7" i="7"/>
  <c r="K7" i="7"/>
  <c r="L7" i="7"/>
</calcChain>
</file>

<file path=xl/sharedStrings.xml><?xml version="1.0" encoding="utf-8"?>
<sst xmlns="http://schemas.openxmlformats.org/spreadsheetml/2006/main" count="162" uniqueCount="121">
  <si>
    <t>CONSTRUCTION RISK REGISTER EXAMPLE</t>
  </si>
  <si>
    <t xml:space="preserve">Enter Risk Category titles on the 
Dropdown Key tab to populate 
the Risk Register Dropdown Menu. </t>
  </si>
  <si>
    <t>DO NOT ALTER
SCORE CELLS
Outcomes populate automatically.</t>
  </si>
  <si>
    <t>REF ID</t>
  </si>
  <si>
    <t>DATE RAISED</t>
  </si>
  <si>
    <t>RISK CATEGORY</t>
  </si>
  <si>
    <r>
      <t xml:space="preserve">RISK DESCRIPTION 
</t>
    </r>
    <r>
      <rPr>
        <sz val="10"/>
        <color theme="0"/>
        <rFont val="Century Gothic"/>
        <family val="1"/>
      </rPr>
      <t>(INCLUDING IF / THEN STATEMENT)</t>
    </r>
  </si>
  <si>
    <t>PROBABILITY
1 – 5</t>
  </si>
  <si>
    <t>IMPACT
1 – 16</t>
  </si>
  <si>
    <r>
      <t xml:space="preserve">RISK SEVERITY SCORE 
</t>
    </r>
    <r>
      <rPr>
        <sz val="9"/>
        <color theme="0"/>
        <rFont val="Century Gothic"/>
        <family val="1"/>
      </rPr>
      <t>Prob  x  Impact</t>
    </r>
  </si>
  <si>
    <t>LIKELY TIMING OF RISK</t>
  </si>
  <si>
    <t>RISK TRIGGER</t>
  </si>
  <si>
    <t>MITIGATION / RESPONSE PLAN</t>
  </si>
  <si>
    <t>STATUS OF MITIGATION / RESPONSE</t>
  </si>
  <si>
    <t>OWNER</t>
  </si>
  <si>
    <t>OTHER NOTES</t>
  </si>
  <si>
    <t>MM/DD/YY</t>
  </si>
  <si>
    <t>Materials</t>
  </si>
  <si>
    <t>If there are changes in architectural plans that require additional or different resources, then there will be delays.</t>
  </si>
  <si>
    <t>The risk is present throughout the process of finalizing architectural plans.</t>
  </si>
  <si>
    <t>There are changes in the architectural plans.</t>
  </si>
  <si>
    <t>A designated team member will continually monitor any proposed changes in architectural plans and ensure communication between architectural and construction teams about proposed changes.</t>
  </si>
  <si>
    <t>No current issues</t>
  </si>
  <si>
    <t>Joe Smith; architectural liaison</t>
  </si>
  <si>
    <t>Contracts</t>
  </si>
  <si>
    <t>If contractual issues among contractors, subcontractors, or vendors arise, then there will be delays or cost overruns.</t>
  </si>
  <si>
    <t>The risk is present before most contract work commences. However, the risk will also be present when additional contracts are added in the early phases of construction.</t>
  </si>
  <si>
    <t>The contracts manager reports any potential contract issues.</t>
  </si>
  <si>
    <t xml:space="preserve">The contracts manager will continually monitor contracts, alert the team when there are issues, and ensure that the team addresses and resolves contract issues before they cause delays. </t>
  </si>
  <si>
    <t>Working on one unresolved issue with the electrician's contract; meeting set for May 2nd</t>
  </si>
  <si>
    <t>Sue Johnson, contracts manager</t>
  </si>
  <si>
    <t>Permits / Regulations</t>
  </si>
  <si>
    <t>If obtaining appropriate construction permits takes longer than planned, then there will be delays.</t>
  </si>
  <si>
    <t xml:space="preserve">The risk is present throughout the construction phase of the project, including when securing required permits at the beginning of construction. </t>
  </si>
  <si>
    <t>Construction permits do not arrive within the required timeframe.</t>
  </si>
  <si>
    <t>The construction manager, or another designated team member, will monitor the project schedule and deadlines and ensure that all permits can accommodate the project's construction schedule.</t>
  </si>
  <si>
    <t>All deadlines currently being monitored</t>
  </si>
  <si>
    <t>Dale Swenson, construction manager</t>
  </si>
  <si>
    <t>Construction Site</t>
  </si>
  <si>
    <t>If unexpected hazardous waste is found on the property, it will require mitigation or cleanup.</t>
  </si>
  <si>
    <t>The risk is present throughout the project, especially toward the beginning when conducting site preparation work.</t>
  </si>
  <si>
    <t>On-site managers report an issue, especially during site preparation.</t>
  </si>
  <si>
    <t xml:space="preserve">The construction manager will assign a team member to monitor and explore any possible issues with hazardous waste. </t>
  </si>
  <si>
    <t>No issues found to this point</t>
  </si>
  <si>
    <t>Jeff Baker, construction assistant</t>
  </si>
  <si>
    <t>PROJECT RISK REGISTER TEMPALTE</t>
  </si>
  <si>
    <t>Human error</t>
  </si>
  <si>
    <t>Scope creep</t>
  </si>
  <si>
    <t>Near the middle of the project</t>
  </si>
  <si>
    <t>Over-enthusiastic stakeholders</t>
  </si>
  <si>
    <t>Stick firmly to what is agreed upon in the contract, remind comissioners that any extra features added will require more time and payment.</t>
  </si>
  <si>
    <t>Project manager</t>
  </si>
  <si>
    <t xml:space="preserve">Delays from quality control </t>
  </si>
  <si>
    <t>Throughout the project</t>
  </si>
  <si>
    <t>dyslexia/mistype</t>
  </si>
  <si>
    <t>use autofills when necessary  during coding and auto correct in documentation</t>
  </si>
  <si>
    <t>Web developers (Ethan)</t>
  </si>
  <si>
    <t>Friction</t>
  </si>
  <si>
    <t>Scheduling</t>
  </si>
  <si>
    <t>Delayed responses/feedback, Unpredicatable personal schedules</t>
  </si>
  <si>
    <t>Scheduling issues are inevitable, to resolve any scheduling issues it's important to keep clear communication with the rest of the team in order to resolve problems as they come in.</t>
  </si>
  <si>
    <t>Branching in the REPO</t>
  </si>
  <si>
    <t>Multiple people pushing to the REPO</t>
  </si>
  <si>
    <t xml:space="preserve">Coordenate times for editing the REPO and/or be prepared to merge branches </t>
  </si>
  <si>
    <t>Web developers</t>
  </si>
  <si>
    <t>PTO</t>
  </si>
  <si>
    <t>Key team members unable to complete key parts for unavoidable reasons</t>
  </si>
  <si>
    <t>Family emergencies, personal emergencies (such as medical)</t>
  </si>
  <si>
    <t>This should be accommadated for at the beginning of the project by allowing extra time for key points, so that any impacts had will not be as fatal to the project</t>
  </si>
  <si>
    <t>Legal issues</t>
  </si>
  <si>
    <t>End of the project</t>
  </si>
  <si>
    <t>Non-compliance with with 2020 Privacy nz act</t>
  </si>
  <si>
    <t>Ensure that a lawyer reads through the terms and conditions, and the privacy policies before publishing the website.</t>
  </si>
  <si>
    <t>Legal team and project manager</t>
  </si>
  <si>
    <t>Delays from stakeholders regarding feedback</t>
  </si>
  <si>
    <t>General stakeholder issues</t>
  </si>
  <si>
    <t>Ethan</t>
  </si>
  <si>
    <t>Copyright</t>
  </si>
  <si>
    <t>Similarity issues with images and audio content, and/or forgetting to replace placeholder images</t>
  </si>
  <si>
    <t>Instead of using placeholder images of objects (i.e, an image of a watch you found online) use images with text descriptions instead. If commissioning someone, ensure that in contract they are liable for any copyright issues that arise from the images they create.</t>
  </si>
  <si>
    <t>Project Manager and web developers</t>
  </si>
  <si>
    <t>Hardware</t>
  </si>
  <si>
    <t>Hardware issues</t>
  </si>
  <si>
    <t>Issues with incompatible operating systems, or the use of old equipment</t>
  </si>
  <si>
    <r>
      <rPr>
        <sz val="7"/>
        <color theme="1"/>
        <rFont val="Century Gothic"/>
        <family val="2"/>
      </rPr>
      <t>ensure that the equipment used has been recently purchaced and checked for faults</t>
    </r>
    <r>
      <rPr>
        <sz val="8"/>
        <color theme="1"/>
        <rFont val="Century Gothic"/>
        <family val="2"/>
      </rPr>
      <t>.</t>
    </r>
  </si>
  <si>
    <t>Project manager and kat</t>
  </si>
  <si>
    <t>Budget</t>
  </si>
  <si>
    <t>Mid-End project</t>
  </si>
  <si>
    <t>More staff required or scope creep or missmangagement</t>
  </si>
  <si>
    <t>check in with management as well as the team to make sure that everything is within the bounds of the contract</t>
  </si>
  <si>
    <t>Domain specific risk</t>
  </si>
  <si>
    <t>Publishing/Deployment failure</t>
  </si>
  <si>
    <t>Near the end of the project</t>
  </si>
  <si>
    <t>Faults with either the hosting platform, or with the files compatibility</t>
  </si>
  <si>
    <t>attempt deployment on a private/unknown server before a final publish that will allow for errors to be fixed before the final publish</t>
  </si>
  <si>
    <t>PROJECT RISK REGISTER – MATRIX</t>
  </si>
  <si>
    <t>PROBABILITY | 1 – 5</t>
  </si>
  <si>
    <t>IMPACT | 1 – 16</t>
  </si>
  <si>
    <t>PI SCORES | 1 – 80</t>
  </si>
  <si>
    <t>1 - RARE</t>
  </si>
  <si>
    <t>1 - INSIGNIFICANT</t>
  </si>
  <si>
    <t>1 – 2 • NEGLIGIBLE</t>
  </si>
  <si>
    <t>2 - UNLIKELY</t>
  </si>
  <si>
    <t>2 - MINOR</t>
  </si>
  <si>
    <t>3 – 8 • LOW</t>
  </si>
  <si>
    <t>3 - POSSIBLE</t>
  </si>
  <si>
    <t>4 - MODERATE</t>
  </si>
  <si>
    <t>10 – 16 • MEDIUM</t>
  </si>
  <si>
    <t>4 - LIKELY</t>
  </si>
  <si>
    <t>8 - MAJOR</t>
  </si>
  <si>
    <t>20 – 32 • HIGH</t>
  </si>
  <si>
    <t>5 - ALMOST CERTAIN</t>
  </si>
  <si>
    <t>16 - SEVERE</t>
  </si>
  <si>
    <t>40 – 80 • EXTREME</t>
  </si>
  <si>
    <t>PROBABILITY KEY</t>
  </si>
  <si>
    <t>IMPACT KEY</t>
  </si>
  <si>
    <t xml:space="preserve">Enter Risk Category titles below to populate the Risk Register Dropdown Menu. </t>
  </si>
  <si>
    <t>Software</t>
  </si>
  <si>
    <t>Category Eight</t>
  </si>
  <si>
    <t>Category Nine</t>
  </si>
  <si>
    <t>Category 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</si>
</sst>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30">
    <font>
      <sz val="12"/>
      <color theme="1"/>
      <name val="Calibri"/>
      <family val="2"/>
      <scheme val="minor"/>
    </font>
    <font>
      <sz val="12"/>
      <color theme="1"/>
      <name val="Arial"/>
      <family val="2"/>
    </font>
    <font>
      <sz val="10"/>
      <color theme="1"/>
      <name val="Century Gothic"/>
      <family val="1"/>
    </font>
    <font>
      <sz val="11"/>
      <color theme="1"/>
      <name val="Calibri"/>
      <family val="2"/>
      <scheme val="minor"/>
    </font>
    <font>
      <b/>
      <sz val="12"/>
      <color theme="1"/>
      <name val="Calibri"/>
      <family val="2"/>
      <scheme val="minor"/>
    </font>
    <font>
      <b/>
      <sz val="10"/>
      <color theme="1"/>
      <name val="Century Gothic"/>
      <family val="1"/>
    </font>
    <font>
      <b/>
      <sz val="10"/>
      <color theme="1"/>
      <name val="Century Gothic"/>
      <family val="2"/>
    </font>
    <font>
      <b/>
      <sz val="12"/>
      <color theme="1"/>
      <name val="Century Gothic"/>
      <family val="2"/>
    </font>
    <font>
      <sz val="11"/>
      <color theme="0"/>
      <name val="Century Gothic"/>
      <family val="2"/>
    </font>
    <font>
      <b/>
      <sz val="11"/>
      <color theme="1"/>
      <name val="Century Gothic"/>
      <family val="1"/>
    </font>
    <font>
      <b/>
      <sz val="10"/>
      <color theme="0"/>
      <name val="Century Gothic"/>
      <family val="2"/>
    </font>
    <font>
      <sz val="10"/>
      <color theme="1"/>
      <name val="Calibri"/>
      <family val="2"/>
      <scheme val="minor"/>
    </font>
    <font>
      <b/>
      <sz val="24"/>
      <color theme="1" tint="0.34998626667073579"/>
      <name val="Century Gothic"/>
      <family val="1"/>
    </font>
    <font>
      <sz val="11"/>
      <color theme="1"/>
      <name val="Century Gothic"/>
      <family val="1"/>
    </font>
    <font>
      <sz val="12"/>
      <color theme="1"/>
      <name val="Century Gothic"/>
      <family val="1"/>
    </font>
    <font>
      <sz val="9"/>
      <color theme="0"/>
      <name val="Century Gothic"/>
      <family val="1"/>
    </font>
    <font>
      <sz val="10"/>
      <color theme="0"/>
      <name val="Century Gothic"/>
      <family val="1"/>
    </font>
    <font>
      <sz val="13"/>
      <color theme="1"/>
      <name val="Century Gothic"/>
      <family val="1"/>
    </font>
    <font>
      <b/>
      <sz val="13"/>
      <color theme="1"/>
      <name val="Century Gothic"/>
      <family val="1"/>
    </font>
    <font>
      <sz val="6"/>
      <color rgb="FF000000"/>
      <name val="Century Gothic"/>
      <family val="1"/>
    </font>
    <font>
      <sz val="8"/>
      <color theme="1"/>
      <name val="Century Gothic"/>
      <family val="2"/>
    </font>
    <font>
      <sz val="6"/>
      <color rgb="FF000000"/>
      <name val="Century Gothic"/>
    </font>
    <font>
      <sz val="8"/>
      <color rgb="FF000000"/>
      <name val="Century Gothic"/>
    </font>
    <font>
      <sz val="5"/>
      <color rgb="FF000000"/>
      <name val="Century Gothic"/>
      <family val="2"/>
    </font>
    <font>
      <sz val="5"/>
      <color theme="1"/>
      <name val="Century Gothic"/>
      <family val="2"/>
    </font>
    <font>
      <sz val="5"/>
      <color rgb="FF000000"/>
      <name val="Century Gothic"/>
      <charset val="1"/>
    </font>
    <font>
      <sz val="7"/>
      <color theme="1"/>
      <name val="Century Gothic"/>
      <family val="2"/>
    </font>
    <font>
      <sz val="8"/>
      <color theme="1"/>
      <name val="Century Gothic"/>
      <family val="1"/>
    </font>
    <font>
      <sz val="6"/>
      <color theme="1"/>
      <name val="Century Gothic"/>
      <family val="1"/>
    </font>
    <font>
      <sz val="7"/>
      <color theme="1"/>
      <name val="Century Gothic"/>
      <family val="1"/>
    </font>
  </fonts>
  <fills count="23">
    <fill>
      <patternFill patternType="none"/>
    </fill>
    <fill>
      <patternFill patternType="gray125"/>
    </fill>
    <fill>
      <patternFill patternType="solid">
        <fgColor theme="7" tint="0.79998168889431442"/>
        <bgColor indexed="64"/>
      </patternFill>
    </fill>
    <fill>
      <patternFill patternType="solid">
        <fgColor theme="8" tint="-0.249977111117893"/>
        <bgColor indexed="64"/>
      </patternFill>
    </fill>
    <fill>
      <patternFill patternType="solid">
        <fgColor theme="8" tint="0.79998168889431442"/>
        <bgColor indexed="64"/>
      </patternFill>
    </fill>
    <fill>
      <patternFill patternType="solid">
        <fgColor theme="0"/>
        <bgColor indexed="64"/>
      </patternFill>
    </fill>
    <fill>
      <patternFill patternType="solid">
        <fgColor theme="3" tint="0.59999389629810485"/>
        <bgColor indexed="64"/>
      </patternFill>
    </fill>
    <fill>
      <patternFill patternType="solid">
        <fgColor rgb="FFE4AB01"/>
        <bgColor indexed="64"/>
      </patternFill>
    </fill>
    <fill>
      <patternFill patternType="solid">
        <fgColor rgb="FFFF0000"/>
        <bgColor indexed="64"/>
      </patternFill>
    </fill>
    <fill>
      <patternFill patternType="solid">
        <fgColor rgb="FFFFAB00"/>
        <bgColor indexed="64"/>
      </patternFill>
    </fill>
    <fill>
      <patternFill patternType="solid">
        <fgColor rgb="FFFFDC00"/>
        <bgColor indexed="64"/>
      </patternFill>
    </fill>
    <fill>
      <patternFill patternType="solid">
        <fgColor rgb="FFC2C8D0"/>
        <bgColor indexed="64"/>
      </patternFill>
    </fill>
    <fill>
      <patternFill patternType="solid">
        <fgColor theme="7"/>
        <bgColor indexed="64"/>
      </patternFill>
    </fill>
    <fill>
      <patternFill patternType="solid">
        <fgColor rgb="FFB5ED46"/>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rgb="FFEAEEF3"/>
        <bgColor indexed="64"/>
      </patternFill>
    </fill>
    <fill>
      <patternFill patternType="solid">
        <fgColor theme="7" tint="0.59999389629810485"/>
        <bgColor indexed="64"/>
      </patternFill>
    </fill>
    <fill>
      <patternFill patternType="solid">
        <fgColor rgb="FF5AE6D5"/>
        <bgColor indexed="64"/>
      </patternFill>
    </fill>
    <fill>
      <patternFill patternType="solid">
        <fgColor rgb="FFF7F9FB"/>
        <bgColor indexed="64"/>
      </patternFill>
    </fill>
    <fill>
      <patternFill patternType="solid">
        <fgColor theme="3" tint="-0.249977111117893"/>
        <bgColor indexed="64"/>
      </patternFill>
    </fill>
    <fill>
      <patternFill patternType="solid">
        <fgColor theme="8" tint="-0.499984740745262"/>
        <bgColor indexed="64"/>
      </patternFill>
    </fill>
    <fill>
      <patternFill patternType="solid">
        <fgColor rgb="FFE9F6FD"/>
        <bgColor indexed="64"/>
      </patternFill>
    </fill>
  </fills>
  <borders count="21">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style="double">
        <color theme="0" tint="-0.249977111117893"/>
      </right>
      <top style="medium">
        <color theme="0" tint="-0.249977111117893"/>
      </top>
      <bottom style="thin">
        <color theme="0" tint="-0.249977111117893"/>
      </bottom>
      <diagonal/>
    </border>
    <border>
      <left style="thin">
        <color theme="0" tint="-0.249977111117893"/>
      </left>
      <right style="double">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bottom style="medium">
        <color theme="0" tint="-0.249977111117893"/>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right/>
      <top style="thin">
        <color theme="0" tint="-0.249977111117893"/>
      </top>
      <bottom style="thin">
        <color theme="0" tint="-0.249977111117893"/>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style="thin">
        <color theme="0" tint="-0.34998626667073579"/>
      </right>
      <top/>
      <bottom style="thin">
        <color theme="0" tint="-0.34998626667073579"/>
      </bottom>
      <diagonal/>
    </border>
    <border>
      <left/>
      <right style="thin">
        <color theme="6" tint="0.39997558519241921"/>
      </right>
      <top style="thin">
        <color theme="6" tint="0.39997558519241921"/>
      </top>
      <bottom style="thin">
        <color theme="6" tint="0.39997558519241921"/>
      </bottom>
      <diagonal/>
    </border>
    <border>
      <left style="thin">
        <color theme="0" tint="-0.249977111117893"/>
      </left>
      <right/>
      <top/>
      <bottom style="thin">
        <color theme="0" tint="-0.249977111117893"/>
      </bottom>
      <diagonal/>
    </border>
    <border>
      <left/>
      <right style="thin">
        <color theme="0" tint="-0.249977111117893"/>
      </right>
      <top style="thin">
        <color theme="0" tint="-0.249977111117893"/>
      </top>
      <bottom/>
      <diagonal/>
    </border>
    <border>
      <left style="thin">
        <color theme="6" tint="0.39997558519241921"/>
      </left>
      <right style="thin">
        <color theme="6" tint="0.39997558519241921"/>
      </right>
      <top/>
      <bottom style="thin">
        <color theme="6" tint="0.39997558519241921"/>
      </bottom>
      <diagonal/>
    </border>
    <border>
      <left style="thin">
        <color theme="6" tint="0.39997558519241921"/>
      </left>
      <right style="thin">
        <color theme="6" tint="0.39997558519241921"/>
      </right>
      <top/>
      <bottom/>
      <diagonal/>
    </border>
    <border>
      <left/>
      <right/>
      <top style="thin">
        <color theme="0" tint="-0.249977111117893"/>
      </top>
      <bottom/>
      <diagonal/>
    </border>
    <border>
      <left/>
      <right/>
      <top style="thin">
        <color theme="0" tint="-0.34998626667073579"/>
      </top>
      <bottom/>
      <diagonal/>
    </border>
    <border>
      <left style="thin">
        <color theme="6" tint="0.39997558519241921"/>
      </left>
      <right style="thin">
        <color theme="6" tint="0.39997558519241921"/>
      </right>
      <top style="thin">
        <color theme="6" tint="0.39997558519241921"/>
      </top>
      <bottom/>
      <diagonal/>
    </border>
  </borders>
  <cellStyleXfs count="2">
    <xf numFmtId="0" fontId="0" fillId="0" borderId="0"/>
    <xf numFmtId="0" fontId="3" fillId="0" borderId="0"/>
  </cellStyleXfs>
  <cellXfs count="94">
    <xf numFmtId="0" fontId="0" fillId="0" borderId="0" xfId="0"/>
    <xf numFmtId="0" fontId="1" fillId="0" borderId="0" xfId="0" applyFont="1" applyAlignment="1">
      <alignment horizontal="left" wrapText="1" indent="1"/>
    </xf>
    <xf numFmtId="0" fontId="4" fillId="0" borderId="0" xfId="0" applyFont="1"/>
    <xf numFmtId="0" fontId="6" fillId="0" borderId="0" xfId="0" applyFont="1"/>
    <xf numFmtId="0" fontId="7" fillId="0" borderId="0" xfId="0" applyFont="1"/>
    <xf numFmtId="0" fontId="1" fillId="0" borderId="0" xfId="0" applyFont="1" applyAlignment="1">
      <alignment horizontal="center" wrapText="1"/>
    </xf>
    <xf numFmtId="0" fontId="0" fillId="0" borderId="0" xfId="0" applyAlignment="1">
      <alignment horizontal="center" vertical="center"/>
    </xf>
    <xf numFmtId="0" fontId="9" fillId="0" borderId="0" xfId="0" applyFont="1" applyAlignment="1">
      <alignment horizontal="center" vertical="center"/>
    </xf>
    <xf numFmtId="0" fontId="5" fillId="6" borderId="1" xfId="0" applyFont="1" applyFill="1" applyBorder="1" applyAlignment="1">
      <alignment horizontal="center" vertical="center" wrapText="1"/>
    </xf>
    <xf numFmtId="0" fontId="0" fillId="0" borderId="0" xfId="0" applyAlignment="1">
      <alignment horizontal="center"/>
    </xf>
    <xf numFmtId="0" fontId="5" fillId="7" borderId="1" xfId="0" applyFont="1" applyFill="1" applyBorder="1" applyAlignment="1">
      <alignment horizontal="center" vertical="center" wrapText="1"/>
    </xf>
    <xf numFmtId="0" fontId="9" fillId="8" borderId="1" xfId="0" applyFont="1" applyFill="1" applyBorder="1" applyAlignment="1">
      <alignment horizontal="center" vertical="center"/>
    </xf>
    <xf numFmtId="0" fontId="9" fillId="9" borderId="1" xfId="0" applyFont="1" applyFill="1" applyBorder="1" applyAlignment="1">
      <alignment horizontal="center" vertical="center"/>
    </xf>
    <xf numFmtId="0" fontId="9" fillId="10" borderId="1" xfId="0" applyFont="1" applyFill="1" applyBorder="1" applyAlignment="1">
      <alignment horizontal="center" vertical="center"/>
    </xf>
    <xf numFmtId="0" fontId="5" fillId="8" borderId="1" xfId="0" applyFont="1" applyFill="1" applyBorder="1" applyAlignment="1">
      <alignment horizontal="left" vertical="center" wrapText="1" indent="1"/>
    </xf>
    <xf numFmtId="0" fontId="2" fillId="6" borderId="1" xfId="0" applyFont="1" applyFill="1" applyBorder="1" applyAlignment="1">
      <alignment horizontal="left" vertical="center" wrapText="1" indent="1"/>
    </xf>
    <xf numFmtId="0" fontId="2" fillId="7" borderId="1" xfId="0" applyFont="1" applyFill="1" applyBorder="1" applyAlignment="1">
      <alignment horizontal="left" vertical="center" wrapText="1" indent="1"/>
    </xf>
    <xf numFmtId="0" fontId="5" fillId="11" borderId="1" xfId="0" applyFont="1" applyFill="1" applyBorder="1" applyAlignment="1">
      <alignment horizontal="center" vertical="center" wrapText="1"/>
    </xf>
    <xf numFmtId="0" fontId="4" fillId="0" borderId="0" xfId="0" applyFont="1" applyAlignment="1">
      <alignment horizontal="center"/>
    </xf>
    <xf numFmtId="0" fontId="5" fillId="12" borderId="1" xfId="0" applyFont="1" applyFill="1" applyBorder="1" applyAlignment="1">
      <alignment horizontal="center" vertical="center" wrapText="1"/>
    </xf>
    <xf numFmtId="0" fontId="9" fillId="13" borderId="1" xfId="0" applyFont="1" applyFill="1" applyBorder="1" applyAlignment="1">
      <alignment horizontal="center" vertical="center"/>
    </xf>
    <xf numFmtId="0" fontId="5" fillId="9" borderId="1" xfId="0" applyFont="1" applyFill="1" applyBorder="1" applyAlignment="1">
      <alignment horizontal="left" vertical="center" wrapText="1" indent="1"/>
    </xf>
    <xf numFmtId="0" fontId="2" fillId="11" borderId="1" xfId="0" applyFont="1" applyFill="1" applyBorder="1" applyAlignment="1">
      <alignment horizontal="left" vertical="center" wrapText="1" indent="1"/>
    </xf>
    <xf numFmtId="0" fontId="2" fillId="12" borderId="1" xfId="0" applyFont="1" applyFill="1" applyBorder="1" applyAlignment="1">
      <alignment horizontal="left" vertical="center" wrapText="1" indent="1"/>
    </xf>
    <xf numFmtId="0" fontId="5" fillId="14" borderId="1" xfId="0" applyFont="1" applyFill="1" applyBorder="1" applyAlignment="1">
      <alignment horizontal="center" vertical="center" wrapText="1"/>
    </xf>
    <xf numFmtId="0" fontId="5" fillId="15" borderId="1" xfId="0" applyFont="1" applyFill="1" applyBorder="1" applyAlignment="1">
      <alignment horizontal="center" vertical="center" wrapText="1"/>
    </xf>
    <xf numFmtId="0" fontId="5" fillId="10" borderId="1" xfId="0" applyFont="1" applyFill="1" applyBorder="1" applyAlignment="1">
      <alignment horizontal="left" vertical="center" wrapText="1" indent="1"/>
    </xf>
    <xf numFmtId="0" fontId="2" fillId="14" borderId="1" xfId="0" applyFont="1" applyFill="1" applyBorder="1" applyAlignment="1">
      <alignment horizontal="left" vertical="center" wrapText="1" indent="1"/>
    </xf>
    <xf numFmtId="0" fontId="2" fillId="15" borderId="1" xfId="0" applyFont="1" applyFill="1" applyBorder="1" applyAlignment="1">
      <alignment horizontal="left" vertical="center" wrapText="1" indent="1"/>
    </xf>
    <xf numFmtId="0" fontId="5" fillId="16" borderId="1" xfId="0" applyFont="1" applyFill="1" applyBorder="1" applyAlignment="1">
      <alignment horizontal="center" vertical="center" wrapText="1"/>
    </xf>
    <xf numFmtId="0" fontId="5" fillId="17" borderId="1" xfId="0" applyFont="1" applyFill="1" applyBorder="1" applyAlignment="1">
      <alignment horizontal="center" vertical="center" wrapText="1"/>
    </xf>
    <xf numFmtId="0" fontId="9" fillId="18" borderId="1" xfId="0" applyFont="1" applyFill="1" applyBorder="1" applyAlignment="1">
      <alignment horizontal="center" vertical="center"/>
    </xf>
    <xf numFmtId="0" fontId="5" fillId="13" borderId="1" xfId="0" applyFont="1" applyFill="1" applyBorder="1" applyAlignment="1">
      <alignment horizontal="left" vertical="center" wrapText="1" indent="1"/>
    </xf>
    <xf numFmtId="0" fontId="2" fillId="16" borderId="1" xfId="0" applyFont="1" applyFill="1" applyBorder="1" applyAlignment="1">
      <alignment horizontal="left" vertical="center" wrapText="1" indent="1"/>
    </xf>
    <xf numFmtId="0" fontId="2" fillId="17" borderId="1" xfId="0" applyFont="1" applyFill="1" applyBorder="1" applyAlignment="1">
      <alignment horizontal="left" vertical="center" wrapText="1" indent="1"/>
    </xf>
    <xf numFmtId="0" fontId="5" fillId="19"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18" borderId="1" xfId="0" applyFont="1" applyFill="1" applyBorder="1" applyAlignment="1">
      <alignment horizontal="left" vertical="center" wrapText="1" indent="1"/>
    </xf>
    <xf numFmtId="0" fontId="2" fillId="19" borderId="1" xfId="0" applyFont="1" applyFill="1" applyBorder="1" applyAlignment="1">
      <alignment horizontal="left" vertical="center" wrapText="1" indent="1"/>
    </xf>
    <xf numFmtId="0" fontId="2" fillId="2" borderId="1" xfId="0" applyFont="1" applyFill="1" applyBorder="1" applyAlignment="1">
      <alignment horizontal="left" vertical="center" wrapText="1" indent="1"/>
    </xf>
    <xf numFmtId="0" fontId="10" fillId="20" borderId="2" xfId="0" applyFont="1" applyFill="1" applyBorder="1" applyAlignment="1">
      <alignment horizontal="center" vertical="center" wrapText="1"/>
    </xf>
    <xf numFmtId="0" fontId="11" fillId="0" borderId="0" xfId="0" applyFont="1" applyAlignment="1">
      <alignment horizontal="center"/>
    </xf>
    <xf numFmtId="0" fontId="11" fillId="0" borderId="0" xfId="0" applyFont="1"/>
    <xf numFmtId="0" fontId="9" fillId="0" borderId="0" xfId="0" applyFont="1" applyAlignment="1">
      <alignment horizontal="center"/>
    </xf>
    <xf numFmtId="0" fontId="10" fillId="20" borderId="2" xfId="0" applyFont="1" applyFill="1" applyBorder="1" applyAlignment="1">
      <alignment horizontal="left" vertical="center" wrapText="1" indent="1"/>
    </xf>
    <xf numFmtId="0" fontId="2" fillId="0" borderId="0" xfId="0" applyFont="1" applyAlignment="1">
      <alignment wrapText="1"/>
    </xf>
    <xf numFmtId="0" fontId="2" fillId="5" borderId="0" xfId="0" applyFont="1" applyFill="1" applyAlignment="1">
      <alignment wrapText="1"/>
    </xf>
    <xf numFmtId="0" fontId="12" fillId="5" borderId="0" xfId="0" applyFont="1" applyFill="1" applyAlignment="1">
      <alignment vertical="center"/>
    </xf>
    <xf numFmtId="0" fontId="8" fillId="3" borderId="2" xfId="0" applyFont="1" applyFill="1" applyBorder="1" applyAlignment="1">
      <alignment horizontal="center" vertical="center" wrapText="1"/>
    </xf>
    <xf numFmtId="0" fontId="8" fillId="3" borderId="2" xfId="0" applyFont="1" applyFill="1" applyBorder="1" applyAlignment="1">
      <alignment horizontal="left" vertical="center" wrapText="1" indent="1"/>
    </xf>
    <xf numFmtId="0" fontId="16" fillId="21" borderId="2" xfId="0" applyFont="1" applyFill="1" applyBorder="1" applyAlignment="1">
      <alignment horizontal="left" vertical="center" wrapText="1" indent="1"/>
    </xf>
    <xf numFmtId="0" fontId="16" fillId="21" borderId="3" xfId="0" applyFont="1" applyFill="1" applyBorder="1" applyAlignment="1">
      <alignment horizontal="left" vertical="center" wrapText="1" indent="1"/>
    </xf>
    <xf numFmtId="1" fontId="2" fillId="16" borderId="1" xfId="0" applyNumberFormat="1" applyFont="1" applyFill="1" applyBorder="1" applyAlignment="1">
      <alignment horizontal="center" vertical="center" wrapText="1"/>
    </xf>
    <xf numFmtId="164" fontId="2" fillId="16" borderId="1" xfId="0" applyNumberFormat="1" applyFont="1" applyFill="1" applyBorder="1" applyAlignment="1">
      <alignment horizontal="center" vertical="center" wrapText="1"/>
    </xf>
    <xf numFmtId="0" fontId="2" fillId="16"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17" fillId="0" borderId="4" xfId="0" applyFont="1" applyBorder="1" applyAlignment="1">
      <alignment horizontal="center" vertical="center" wrapText="1"/>
    </xf>
    <xf numFmtId="0" fontId="18" fillId="14" borderId="5" xfId="0" applyFont="1" applyFill="1" applyBorder="1" applyAlignment="1">
      <alignment horizontal="center" vertical="center" wrapText="1"/>
    </xf>
    <xf numFmtId="0" fontId="2" fillId="22" borderId="1" xfId="0" applyFont="1" applyFill="1" applyBorder="1" applyAlignment="1">
      <alignment horizontal="left" vertical="center" wrapText="1" indent="2"/>
    </xf>
    <xf numFmtId="0" fontId="2" fillId="0" borderId="1" xfId="0" applyFont="1" applyBorder="1" applyAlignment="1">
      <alignment horizontal="left" vertical="center" wrapText="1" indent="1"/>
    </xf>
    <xf numFmtId="0" fontId="2" fillId="5" borderId="1" xfId="0" applyFont="1" applyFill="1" applyBorder="1" applyAlignment="1">
      <alignment horizontal="left" vertical="center" wrapText="1" indent="1"/>
    </xf>
    <xf numFmtId="0" fontId="13" fillId="0" borderId="0" xfId="0" applyFont="1" applyAlignment="1">
      <alignment wrapText="1"/>
    </xf>
    <xf numFmtId="0" fontId="2" fillId="0" borderId="0" xfId="0" applyFont="1" applyAlignment="1">
      <alignment vertical="top" wrapText="1"/>
    </xf>
    <xf numFmtId="0" fontId="2" fillId="4" borderId="1" xfId="0" applyFont="1" applyFill="1" applyBorder="1" applyAlignment="1">
      <alignment horizontal="left" vertical="center" wrapText="1" indent="1"/>
    </xf>
    <xf numFmtId="0" fontId="2" fillId="22" borderId="1" xfId="0" applyFont="1" applyFill="1" applyBorder="1" applyAlignment="1">
      <alignment horizontal="left" vertical="center" wrapText="1" indent="1"/>
    </xf>
    <xf numFmtId="0" fontId="19" fillId="5" borderId="1" xfId="0" applyFont="1" applyFill="1" applyBorder="1" applyAlignment="1">
      <alignment horizontal="left" vertical="center" wrapText="1" indent="1"/>
    </xf>
    <xf numFmtId="0" fontId="22" fillId="5" borderId="1" xfId="0" applyFont="1" applyFill="1" applyBorder="1" applyAlignment="1">
      <alignment horizontal="left" vertical="center" wrapText="1" indent="1"/>
    </xf>
    <xf numFmtId="0" fontId="21" fillId="0" borderId="0" xfId="0" applyFont="1" applyAlignment="1">
      <alignment horizontal="left" vertical="center" wrapText="1" indent="1"/>
    </xf>
    <xf numFmtId="0" fontId="2" fillId="5" borderId="5" xfId="0" applyFont="1" applyFill="1" applyBorder="1" applyAlignment="1">
      <alignment horizontal="left" vertical="center" wrapText="1" indent="1"/>
    </xf>
    <xf numFmtId="0" fontId="2" fillId="5" borderId="9" xfId="0" applyFont="1" applyFill="1" applyBorder="1" applyAlignment="1">
      <alignment horizontal="left" vertical="center" wrapText="1" indent="1"/>
    </xf>
    <xf numFmtId="0" fontId="18" fillId="14" borderId="10" xfId="0" applyFont="1" applyFill="1" applyBorder="1" applyAlignment="1">
      <alignment horizontal="center" vertical="center" wrapText="1"/>
    </xf>
    <xf numFmtId="0" fontId="2" fillId="5" borderId="8" xfId="0" applyFont="1" applyFill="1" applyBorder="1" applyAlignment="1">
      <alignment horizontal="left" vertical="center" wrapText="1" indent="1"/>
    </xf>
    <xf numFmtId="0" fontId="24" fillId="5" borderId="11" xfId="0" applyFont="1" applyFill="1" applyBorder="1" applyAlignment="1">
      <alignment horizontal="left" vertical="center" wrapText="1" indent="1"/>
    </xf>
    <xf numFmtId="0" fontId="25" fillId="0" borderId="12" xfId="0" applyFont="1" applyBorder="1" applyAlignment="1">
      <alignment horizontal="center" vertical="center" wrapText="1"/>
    </xf>
    <xf numFmtId="0" fontId="2" fillId="5" borderId="11" xfId="0" applyFont="1" applyFill="1" applyBorder="1" applyAlignment="1">
      <alignment horizontal="left" vertical="center" wrapText="1" indent="1"/>
    </xf>
    <xf numFmtId="0" fontId="2" fillId="5" borderId="14" xfId="0" applyFont="1" applyFill="1" applyBorder="1" applyAlignment="1">
      <alignment horizontal="left" vertical="center" wrapText="1" indent="1"/>
    </xf>
    <xf numFmtId="0" fontId="2" fillId="5" borderId="15" xfId="0" applyFont="1" applyFill="1" applyBorder="1" applyAlignment="1">
      <alignment horizontal="left" vertical="center" wrapText="1" indent="1"/>
    </xf>
    <xf numFmtId="0" fontId="23" fillId="5" borderId="11" xfId="0" applyFont="1" applyFill="1" applyBorder="1" applyAlignment="1">
      <alignment horizontal="left" vertical="center" wrapText="1" indent="1"/>
    </xf>
    <xf numFmtId="0" fontId="22" fillId="5" borderId="7" xfId="0" applyFont="1" applyFill="1" applyBorder="1" applyAlignment="1">
      <alignment horizontal="left" vertical="center" wrapText="1" indent="1"/>
    </xf>
    <xf numFmtId="0" fontId="20" fillId="5" borderId="17" xfId="0" applyFont="1" applyFill="1" applyBorder="1" applyAlignment="1">
      <alignment horizontal="center" vertical="center" wrapText="1" indent="1"/>
    </xf>
    <xf numFmtId="0" fontId="2" fillId="5" borderId="18" xfId="0" applyFont="1" applyFill="1" applyBorder="1" applyAlignment="1">
      <alignment horizontal="left" vertical="center" wrapText="1" indent="1"/>
    </xf>
    <xf numFmtId="0" fontId="22" fillId="5" borderId="19" xfId="0" applyFont="1" applyFill="1" applyBorder="1" applyAlignment="1">
      <alignment horizontal="left" vertical="center" wrapText="1" indent="1"/>
    </xf>
    <xf numFmtId="0" fontId="2" fillId="5" borderId="20" xfId="0" applyFont="1" applyFill="1" applyBorder="1" applyAlignment="1">
      <alignment horizontal="left" vertical="center" wrapText="1" indent="1"/>
    </xf>
    <xf numFmtId="0" fontId="2" fillId="5" borderId="16" xfId="0" applyFont="1" applyFill="1" applyBorder="1" applyAlignment="1">
      <alignment horizontal="left" vertical="center" wrapText="1" indent="1"/>
    </xf>
    <xf numFmtId="0" fontId="22" fillId="0" borderId="13" xfId="0" applyFont="1" applyBorder="1" applyAlignment="1">
      <alignment horizontal="center" vertical="center" wrapText="1"/>
    </xf>
    <xf numFmtId="0" fontId="1" fillId="0" borderId="0" xfId="0" applyFont="1" applyAlignment="1">
      <alignment horizontal="left" vertical="center" wrapText="1" indent="1"/>
    </xf>
    <xf numFmtId="0" fontId="20" fillId="5" borderId="1" xfId="0" applyFont="1" applyFill="1" applyBorder="1" applyAlignment="1">
      <alignment horizontal="left" vertical="center" wrapText="1" indent="1"/>
    </xf>
    <xf numFmtId="0" fontId="27" fillId="5" borderId="1" xfId="0" applyFont="1" applyFill="1" applyBorder="1" applyAlignment="1">
      <alignment horizontal="left" vertical="center" wrapText="1" indent="1"/>
    </xf>
    <xf numFmtId="0" fontId="28" fillId="5" borderId="1" xfId="0" applyFont="1" applyFill="1" applyBorder="1" applyAlignment="1">
      <alignment horizontal="left" vertical="center" wrapText="1" indent="1"/>
    </xf>
    <xf numFmtId="0" fontId="29" fillId="5" borderId="1" xfId="0" applyFont="1" applyFill="1" applyBorder="1" applyAlignment="1">
      <alignment horizontal="left" vertical="center" wrapText="1" indent="1"/>
    </xf>
    <xf numFmtId="0" fontId="2" fillId="4" borderId="1"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14" fillId="0" borderId="6" xfId="0" applyFont="1" applyBorder="1" applyAlignment="1">
      <alignment horizontal="left" vertical="center" wrapText="1"/>
    </xf>
    <xf numFmtId="0" fontId="25" fillId="0" borderId="0" xfId="0" applyFont="1" applyAlignment="1">
      <alignment horizontal="center" wrapText="1"/>
    </xf>
  </cellXfs>
  <cellStyles count="2">
    <cellStyle name="Normal" xfId="0" builtinId="0"/>
    <cellStyle name="Normal 2" xfId="1" xr:uid="{A9DF3BC1-9742-6741-902A-E2056DAAB984}"/>
  </cellStyles>
  <dxfs count="30">
    <dxf>
      <font>
        <color auto="1"/>
      </font>
      <fill>
        <patternFill>
          <bgColor rgb="FF4FE3CF"/>
        </patternFill>
      </fill>
    </dxf>
    <dxf>
      <font>
        <color auto="1"/>
      </font>
      <fill>
        <patternFill>
          <bgColor rgb="FFB5ED46"/>
        </patternFill>
      </fill>
    </dxf>
    <dxf>
      <font>
        <color auto="1"/>
      </font>
      <fill>
        <patternFill patternType="solid">
          <bgColor rgb="FFFFD700"/>
        </patternFill>
      </fill>
    </dxf>
    <dxf>
      <font>
        <color auto="1"/>
      </font>
      <fill>
        <patternFill>
          <bgColor rgb="FFFFA100"/>
        </patternFill>
      </fill>
    </dxf>
    <dxf>
      <font>
        <color theme="1"/>
      </font>
      <fill>
        <patternFill>
          <bgColor rgb="FFFF0000"/>
        </patternFill>
      </fill>
    </dxf>
    <dxf>
      <font>
        <color auto="1"/>
      </font>
      <fill>
        <patternFill>
          <bgColor rgb="FFF7F9FA"/>
        </patternFill>
      </fill>
    </dxf>
    <dxf>
      <font>
        <color auto="1"/>
      </font>
      <fill>
        <patternFill>
          <bgColor rgb="FFE7EBF2"/>
        </patternFill>
      </fill>
    </dxf>
    <dxf>
      <font>
        <color auto="1"/>
      </font>
      <numFmt numFmtId="0" formatCode="General"/>
      <fill>
        <patternFill>
          <bgColor rgb="FFD1D7E1"/>
        </patternFill>
      </fill>
    </dxf>
    <dxf>
      <font>
        <color auto="1"/>
      </font>
      <fill>
        <patternFill>
          <bgColor rgb="FFBAC1CA"/>
        </patternFill>
      </fill>
    </dxf>
    <dxf>
      <font>
        <color auto="1"/>
      </font>
      <fill>
        <patternFill>
          <bgColor rgb="FFA2B1C3"/>
        </patternFill>
      </fill>
    </dxf>
    <dxf>
      <font>
        <color auto="1"/>
      </font>
      <fill>
        <patternFill>
          <bgColor rgb="FFFFF1C5"/>
        </patternFill>
      </fill>
    </dxf>
    <dxf>
      <font>
        <color auto="1"/>
      </font>
      <fill>
        <patternFill>
          <bgColor rgb="FFFFE38E"/>
        </patternFill>
      </fill>
    </dxf>
    <dxf>
      <font>
        <color auto="1"/>
      </font>
      <numFmt numFmtId="0" formatCode="General"/>
      <fill>
        <patternFill>
          <bgColor rgb="FFFFD45B"/>
        </patternFill>
      </fill>
    </dxf>
    <dxf>
      <font>
        <color auto="1"/>
      </font>
      <fill>
        <patternFill>
          <bgColor rgb="FFFFB800"/>
        </patternFill>
      </fill>
    </dxf>
    <dxf>
      <font>
        <color auto="1"/>
      </font>
      <fill>
        <patternFill>
          <bgColor rgb="FFE0A100"/>
        </patternFill>
      </fill>
    </dxf>
    <dxf>
      <font>
        <color auto="1"/>
      </font>
      <fill>
        <patternFill>
          <bgColor rgb="FF4FE3CF"/>
        </patternFill>
      </fill>
    </dxf>
    <dxf>
      <font>
        <color auto="1"/>
      </font>
      <fill>
        <patternFill>
          <bgColor rgb="FFB5ED46"/>
        </patternFill>
      </fill>
    </dxf>
    <dxf>
      <font>
        <color auto="1"/>
      </font>
      <fill>
        <patternFill patternType="solid">
          <bgColor rgb="FFFFD700"/>
        </patternFill>
      </fill>
    </dxf>
    <dxf>
      <font>
        <color auto="1"/>
      </font>
      <fill>
        <patternFill>
          <bgColor rgb="FFFFA100"/>
        </patternFill>
      </fill>
    </dxf>
    <dxf>
      <font>
        <color theme="1"/>
      </font>
      <fill>
        <patternFill>
          <bgColor rgb="FFFF0000"/>
        </patternFill>
      </fill>
    </dxf>
    <dxf>
      <font>
        <color auto="1"/>
      </font>
      <fill>
        <patternFill>
          <bgColor rgb="FFF7F9FA"/>
        </patternFill>
      </fill>
    </dxf>
    <dxf>
      <font>
        <color auto="1"/>
      </font>
      <fill>
        <patternFill>
          <bgColor rgb="FFE7EBF2"/>
        </patternFill>
      </fill>
    </dxf>
    <dxf>
      <font>
        <color auto="1"/>
      </font>
      <numFmt numFmtId="0" formatCode="General"/>
      <fill>
        <patternFill>
          <bgColor rgb="FFD1D7E1"/>
        </patternFill>
      </fill>
    </dxf>
    <dxf>
      <font>
        <color auto="1"/>
      </font>
      <fill>
        <patternFill>
          <bgColor rgb="FFBAC1CA"/>
        </patternFill>
      </fill>
    </dxf>
    <dxf>
      <font>
        <color auto="1"/>
      </font>
      <fill>
        <patternFill>
          <bgColor rgb="FFA2B1C3"/>
        </patternFill>
      </fill>
    </dxf>
    <dxf>
      <font>
        <color auto="1"/>
      </font>
      <fill>
        <patternFill>
          <bgColor rgb="FFFFF1C5"/>
        </patternFill>
      </fill>
    </dxf>
    <dxf>
      <font>
        <color auto="1"/>
      </font>
      <fill>
        <patternFill>
          <bgColor rgb="FFFFE38E"/>
        </patternFill>
      </fill>
    </dxf>
    <dxf>
      <font>
        <color auto="1"/>
      </font>
      <numFmt numFmtId="0" formatCode="General"/>
      <fill>
        <patternFill>
          <bgColor rgb="FFFFD45B"/>
        </patternFill>
      </fill>
    </dxf>
    <dxf>
      <font>
        <color auto="1"/>
      </font>
      <fill>
        <patternFill>
          <bgColor rgb="FFFFB800"/>
        </patternFill>
      </fill>
    </dxf>
    <dxf>
      <font>
        <color auto="1"/>
      </font>
      <fill>
        <patternFill>
          <bgColor rgb="FFE0A100"/>
        </patternFill>
      </fill>
    </dxf>
  </dxfs>
  <tableStyles count="0" defaultTableStyle="TableStyleMedium9" defaultPivotStyle="PivotStyleMedium7"/>
  <colors>
    <mruColors>
      <color rgb="FFE9F6FD"/>
      <color rgb="FFEAEEF3"/>
      <color rgb="FFF7F9FB"/>
      <color rgb="FFF9F9F9"/>
      <color rgb="FFE1E7EF"/>
      <color rgb="FF00BD32"/>
      <color rgb="FF6E7E93"/>
      <color rgb="FF94AAC6"/>
      <color rgb="FFD0D6DE"/>
      <color rgb="FFFAEA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19050</xdr:rowOff>
    </xdr:from>
    <xdr:to>
      <xdr:col>8</xdr:col>
      <xdr:colOff>520700</xdr:colOff>
      <xdr:row>2</xdr:row>
      <xdr:rowOff>1711843</xdr:rowOff>
    </xdr:to>
    <xdr:pic>
      <xdr:nvPicPr>
        <xdr:cNvPr id="3" name="Picture 2">
          <a:extLst>
            <a:ext uri="{FF2B5EF4-FFF2-40B4-BE49-F238E27FC236}">
              <a16:creationId xmlns:a16="http://schemas.microsoft.com/office/drawing/2014/main" id="{5CE3171D-AE23-7041-A8C2-2E61ECA04152}"/>
            </a:ext>
          </a:extLst>
        </xdr:cNvPr>
        <xdr:cNvPicPr>
          <a:picLocks noChangeAspect="1"/>
        </xdr:cNvPicPr>
      </xdr:nvPicPr>
      <xdr:blipFill>
        <a:blip xmlns:r="http://schemas.openxmlformats.org/officeDocument/2006/relationships" r:embed="rId1"/>
        <a:stretch>
          <a:fillRect/>
        </a:stretch>
      </xdr:blipFill>
      <xdr:spPr>
        <a:xfrm>
          <a:off x="257175" y="752475"/>
          <a:ext cx="7788275" cy="16927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7</xdr:col>
      <xdr:colOff>901700</xdr:colOff>
      <xdr:row>1</xdr:row>
      <xdr:rowOff>1692793</xdr:rowOff>
    </xdr:to>
    <xdr:pic>
      <xdr:nvPicPr>
        <xdr:cNvPr id="4" name="Picture 3">
          <a:extLst>
            <a:ext uri="{FF2B5EF4-FFF2-40B4-BE49-F238E27FC236}">
              <a16:creationId xmlns:a16="http://schemas.microsoft.com/office/drawing/2014/main" id="{3EA8D3C6-5706-9E41-867A-B9067DCBE03F}"/>
            </a:ext>
          </a:extLst>
        </xdr:cNvPr>
        <xdr:cNvPicPr>
          <a:picLocks noChangeAspect="1"/>
        </xdr:cNvPicPr>
      </xdr:nvPicPr>
      <xdr:blipFill>
        <a:blip xmlns:r="http://schemas.openxmlformats.org/officeDocument/2006/relationships" r:embed="rId1"/>
        <a:stretch>
          <a:fillRect/>
        </a:stretch>
      </xdr:blipFill>
      <xdr:spPr>
        <a:xfrm>
          <a:off x="254000" y="3060700"/>
          <a:ext cx="7772400" cy="169279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25400</xdr:colOff>
      <xdr:row>0</xdr:row>
      <xdr:rowOff>381000</xdr:rowOff>
    </xdr:from>
    <xdr:to>
      <xdr:col>11</xdr:col>
      <xdr:colOff>812800</xdr:colOff>
      <xdr:row>1</xdr:row>
      <xdr:rowOff>114300</xdr:rowOff>
    </xdr:to>
    <xdr:sp macro="" textlink="">
      <xdr:nvSpPr>
        <xdr:cNvPr id="2" name="TextBox 1">
          <a:extLst>
            <a:ext uri="{FF2B5EF4-FFF2-40B4-BE49-F238E27FC236}">
              <a16:creationId xmlns:a16="http://schemas.microsoft.com/office/drawing/2014/main" id="{3DAAE2A5-B515-7F44-9AE2-41416E1D9F17}"/>
            </a:ext>
          </a:extLst>
        </xdr:cNvPr>
        <xdr:cNvSpPr txBox="1"/>
      </xdr:nvSpPr>
      <xdr:spPr>
        <a:xfrm>
          <a:off x="5803900" y="203200"/>
          <a:ext cx="4089400" cy="114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atin typeface="Century Gothic" panose="020B0502020202020204" pitchFamily="34" charset="0"/>
            </a:rPr>
            <a:t>PROBABILITY</a:t>
          </a:r>
        </a:p>
      </xdr:txBody>
    </xdr:sp>
    <xdr:clientData/>
  </xdr:twoCellAnchor>
  <xdr:twoCellAnchor>
    <xdr:from>
      <xdr:col>5</xdr:col>
      <xdr:colOff>88900</xdr:colOff>
      <xdr:row>2</xdr:row>
      <xdr:rowOff>0</xdr:rowOff>
    </xdr:from>
    <xdr:to>
      <xdr:col>6</xdr:col>
      <xdr:colOff>25400</xdr:colOff>
      <xdr:row>6</xdr:row>
      <xdr:rowOff>304800</xdr:rowOff>
    </xdr:to>
    <xdr:sp macro="" textlink="">
      <xdr:nvSpPr>
        <xdr:cNvPr id="3" name="TextBox 2">
          <a:extLst>
            <a:ext uri="{FF2B5EF4-FFF2-40B4-BE49-F238E27FC236}">
              <a16:creationId xmlns:a16="http://schemas.microsoft.com/office/drawing/2014/main" id="{298D54AF-5B9A-834D-9166-AFB650638F50}"/>
            </a:ext>
          </a:extLst>
        </xdr:cNvPr>
        <xdr:cNvSpPr txBox="1"/>
      </xdr:nvSpPr>
      <xdr:spPr>
        <a:xfrm rot="16200000">
          <a:off x="4089400" y="533400"/>
          <a:ext cx="101600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atin typeface="Century Gothic" panose="020B0502020202020204" pitchFamily="34" charset="0"/>
            </a:rPr>
            <a:t>IMPACT</a:t>
          </a: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F3D8A-8DEB-674D-8BC8-37087A3FC63B}">
  <sheetPr>
    <tabColor theme="3" tint="0.59999389629810485"/>
    <pageSetUpPr fitToPage="1"/>
  </sheetPr>
  <dimension ref="A1:IW27"/>
  <sheetViews>
    <sheetView zoomScaleNormal="100" workbookViewId="0">
      <pane ySplit="1" topLeftCell="A4" activePane="bottomLeft" state="frozen"/>
      <selection pane="bottomLeft" activeCell="S9" sqref="S9"/>
    </sheetView>
  </sheetViews>
  <sheetFormatPr defaultColWidth="11" defaultRowHeight="15.75"/>
  <cols>
    <col min="1" max="1" width="3.375" customWidth="1"/>
    <col min="2" max="2" width="10.875" style="1" customWidth="1"/>
    <col min="3" max="3" width="10.875" style="5" customWidth="1"/>
    <col min="4" max="4" width="13.5" style="1" customWidth="1"/>
    <col min="5" max="5" width="20.5" style="1" customWidth="1"/>
    <col min="6" max="6" width="12.875" style="5" customWidth="1"/>
    <col min="7" max="7" width="12.875" style="1" customWidth="1"/>
    <col min="8" max="8" width="13.875" style="1" customWidth="1"/>
    <col min="9" max="9" width="20.875" style="1" customWidth="1"/>
    <col min="10" max="10" width="15.875" style="1" customWidth="1"/>
    <col min="11" max="11" width="25.875" style="1" customWidth="1"/>
    <col min="12" max="12" width="15.875" style="1" customWidth="1"/>
    <col min="13" max="13" width="12.875" style="1" customWidth="1"/>
    <col min="14" max="14" width="20.875" style="1" customWidth="1"/>
    <col min="15" max="15" width="3.375" customWidth="1"/>
  </cols>
  <sheetData>
    <row r="1" spans="1:257">
      <c r="B1"/>
      <c r="C1"/>
      <c r="D1"/>
      <c r="E1"/>
      <c r="F1"/>
      <c r="G1"/>
      <c r="H1"/>
      <c r="I1" s="6"/>
      <c r="J1"/>
      <c r="K1"/>
      <c r="L1"/>
      <c r="M1"/>
      <c r="N1"/>
    </row>
    <row r="2" spans="1:257" s="45" customFormat="1" ht="42" customHeight="1">
      <c r="A2" s="46"/>
      <c r="B2" s="47" t="s">
        <v>0</v>
      </c>
      <c r="C2"/>
      <c r="D2"/>
      <c r="E2"/>
      <c r="F2"/>
      <c r="G2"/>
      <c r="H2"/>
      <c r="I2"/>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6"/>
      <c r="CD2" s="46"/>
      <c r="CE2" s="46"/>
      <c r="CF2" s="46"/>
      <c r="CG2" s="46"/>
      <c r="CH2" s="46"/>
      <c r="CI2" s="46"/>
      <c r="CJ2" s="46"/>
      <c r="CK2" s="46"/>
      <c r="CL2" s="46"/>
      <c r="CM2" s="46"/>
      <c r="CN2" s="46"/>
      <c r="CO2" s="46"/>
      <c r="CP2" s="46"/>
      <c r="CQ2" s="46"/>
      <c r="CR2" s="46"/>
      <c r="CS2" s="46"/>
      <c r="CT2" s="46"/>
      <c r="CU2" s="46"/>
      <c r="CV2" s="46"/>
      <c r="CW2" s="46"/>
      <c r="CX2" s="46"/>
      <c r="CY2" s="46"/>
      <c r="CZ2" s="46"/>
      <c r="DA2" s="46"/>
      <c r="DB2" s="46"/>
      <c r="DC2" s="46"/>
      <c r="DD2" s="46"/>
      <c r="DE2" s="46"/>
      <c r="DF2" s="46"/>
      <c r="DG2" s="46"/>
      <c r="DH2" s="46"/>
      <c r="DI2" s="46"/>
      <c r="DJ2" s="46"/>
      <c r="DK2" s="46"/>
      <c r="DL2" s="46"/>
      <c r="DM2" s="46"/>
      <c r="DN2" s="46"/>
      <c r="DO2" s="46"/>
      <c r="DP2" s="46"/>
      <c r="DQ2" s="46"/>
      <c r="DR2" s="46"/>
      <c r="DS2" s="46"/>
      <c r="DT2" s="46"/>
      <c r="DU2" s="46"/>
      <c r="DV2" s="46"/>
      <c r="DW2" s="46"/>
      <c r="DX2" s="46"/>
      <c r="DY2" s="46"/>
      <c r="DZ2" s="46"/>
      <c r="EA2" s="46"/>
      <c r="EB2" s="46"/>
      <c r="EC2" s="46"/>
      <c r="ED2" s="46"/>
      <c r="EE2" s="46"/>
      <c r="EF2" s="46"/>
      <c r="EG2" s="46"/>
      <c r="EH2" s="46"/>
      <c r="EI2" s="46"/>
      <c r="EJ2" s="46"/>
      <c r="EK2" s="46"/>
      <c r="EL2" s="46"/>
      <c r="EM2" s="46"/>
      <c r="EN2" s="46"/>
      <c r="EO2" s="46"/>
      <c r="EP2" s="46"/>
      <c r="EQ2" s="46"/>
      <c r="ER2" s="46"/>
      <c r="ES2" s="46"/>
      <c r="ET2" s="46"/>
      <c r="EU2" s="46"/>
      <c r="EV2" s="46"/>
      <c r="EW2" s="46"/>
      <c r="EX2" s="46"/>
      <c r="EY2" s="46"/>
      <c r="EZ2" s="46"/>
      <c r="FA2" s="46"/>
      <c r="FB2" s="46"/>
      <c r="FC2" s="46"/>
      <c r="FD2" s="46"/>
      <c r="FE2" s="46"/>
      <c r="FF2" s="46"/>
      <c r="FG2" s="46"/>
      <c r="FH2" s="46"/>
      <c r="FI2" s="46"/>
      <c r="FJ2" s="46"/>
      <c r="FK2" s="46"/>
      <c r="FL2" s="46"/>
      <c r="FM2" s="46"/>
      <c r="FN2" s="46"/>
      <c r="FO2" s="46"/>
      <c r="FP2" s="46"/>
      <c r="FQ2" s="46"/>
      <c r="FR2" s="46"/>
      <c r="FS2" s="46"/>
      <c r="FT2" s="46"/>
      <c r="FU2" s="46"/>
      <c r="FV2" s="46"/>
      <c r="FW2" s="46"/>
      <c r="FX2" s="46"/>
      <c r="FY2" s="46"/>
      <c r="FZ2" s="46"/>
      <c r="GA2" s="46"/>
      <c r="GB2" s="46"/>
      <c r="GC2" s="46"/>
      <c r="GD2" s="46"/>
      <c r="GE2" s="46"/>
      <c r="GF2" s="46"/>
      <c r="GG2" s="46"/>
      <c r="GH2" s="46"/>
      <c r="GI2" s="46"/>
      <c r="GJ2" s="46"/>
      <c r="GK2" s="46"/>
      <c r="GL2" s="46"/>
      <c r="GM2" s="46"/>
      <c r="GN2" s="46"/>
      <c r="GO2" s="46"/>
      <c r="GP2" s="46"/>
      <c r="GQ2" s="46"/>
      <c r="GR2" s="46"/>
      <c r="GS2" s="46"/>
      <c r="GT2" s="46"/>
      <c r="GU2" s="46"/>
      <c r="GV2" s="46"/>
      <c r="GW2" s="46"/>
      <c r="GX2" s="46"/>
      <c r="GY2" s="46"/>
      <c r="GZ2" s="46"/>
      <c r="HA2" s="46"/>
      <c r="HB2" s="46"/>
      <c r="HC2" s="46"/>
      <c r="HD2" s="46"/>
      <c r="HE2" s="46"/>
      <c r="HF2" s="46"/>
      <c r="HG2" s="46"/>
      <c r="HH2" s="46"/>
      <c r="HI2" s="46"/>
      <c r="HJ2" s="46"/>
      <c r="HK2" s="46"/>
      <c r="HL2" s="46"/>
      <c r="HM2" s="46"/>
      <c r="HN2" s="46"/>
      <c r="HO2" s="46"/>
      <c r="HP2" s="46"/>
      <c r="HQ2" s="46"/>
      <c r="HR2" s="46"/>
      <c r="HS2" s="46"/>
      <c r="HT2" s="46"/>
      <c r="HU2" s="46"/>
      <c r="HV2" s="46"/>
      <c r="HW2" s="46"/>
      <c r="HX2" s="46"/>
      <c r="HY2" s="46"/>
      <c r="HZ2" s="46"/>
      <c r="IA2" s="46"/>
      <c r="IB2" s="46"/>
      <c r="IC2" s="46"/>
      <c r="ID2" s="46"/>
      <c r="IE2" s="46"/>
      <c r="IF2" s="46"/>
      <c r="IG2" s="46"/>
      <c r="IH2" s="46"/>
      <c r="II2" s="46"/>
      <c r="IJ2" s="46"/>
      <c r="IK2" s="46"/>
      <c r="IL2" s="46"/>
      <c r="IM2" s="46"/>
      <c r="IN2" s="46"/>
      <c r="IO2" s="46"/>
      <c r="IP2" s="46"/>
      <c r="IQ2" s="46"/>
      <c r="IR2" s="46"/>
      <c r="IS2" s="46"/>
      <c r="IT2" s="46"/>
      <c r="IU2" s="46"/>
      <c r="IV2" s="46"/>
      <c r="IW2" s="46"/>
    </row>
    <row r="3" spans="1:257" ht="138.94999999999999" customHeight="1">
      <c r="C3" s="1"/>
      <c r="F3" s="1"/>
      <c r="K3"/>
      <c r="L3"/>
      <c r="M3"/>
      <c r="N3"/>
    </row>
    <row r="4" spans="1:257" ht="78.95" customHeight="1" thickBot="1">
      <c r="B4" s="62"/>
      <c r="C4"/>
      <c r="D4" s="92" t="s">
        <v>1</v>
      </c>
      <c r="E4" s="92"/>
      <c r="F4"/>
      <c r="G4"/>
      <c r="H4" s="61" t="s">
        <v>2</v>
      </c>
      <c r="I4"/>
      <c r="J4"/>
      <c r="K4"/>
      <c r="L4"/>
      <c r="M4"/>
      <c r="N4"/>
    </row>
    <row r="5" spans="1:257" s="4" customFormat="1" ht="54.95" customHeight="1">
      <c r="A5" s="3"/>
      <c r="B5" s="48" t="s">
        <v>3</v>
      </c>
      <c r="C5" s="48" t="s">
        <v>4</v>
      </c>
      <c r="D5" s="49" t="s">
        <v>5</v>
      </c>
      <c r="E5" s="49" t="s">
        <v>6</v>
      </c>
      <c r="F5" s="50" t="s">
        <v>7</v>
      </c>
      <c r="G5" s="51" t="s">
        <v>8</v>
      </c>
      <c r="H5" s="50" t="s">
        <v>9</v>
      </c>
      <c r="I5" s="49" t="s">
        <v>10</v>
      </c>
      <c r="J5" s="49" t="s">
        <v>11</v>
      </c>
      <c r="K5" s="49" t="s">
        <v>12</v>
      </c>
      <c r="L5" s="49" t="s">
        <v>13</v>
      </c>
      <c r="M5" s="49" t="s">
        <v>14</v>
      </c>
      <c r="N5" s="49" t="s">
        <v>15</v>
      </c>
      <c r="O5" s="3"/>
    </row>
    <row r="6" spans="1:257" ht="108">
      <c r="B6" s="52">
        <v>10001</v>
      </c>
      <c r="C6" s="53" t="s">
        <v>16</v>
      </c>
      <c r="D6" s="38" t="s">
        <v>17</v>
      </c>
      <c r="E6" s="60" t="s">
        <v>18</v>
      </c>
      <c r="F6" s="55">
        <v>1</v>
      </c>
      <c r="G6" s="56">
        <v>8</v>
      </c>
      <c r="H6" s="57">
        <f t="shared" ref="H6:H18" si="0">F6*G6</f>
        <v>8</v>
      </c>
      <c r="I6" s="60" t="s">
        <v>19</v>
      </c>
      <c r="J6" s="60" t="s">
        <v>20</v>
      </c>
      <c r="K6" s="60" t="s">
        <v>21</v>
      </c>
      <c r="L6" s="60" t="s">
        <v>22</v>
      </c>
      <c r="M6" s="63" t="s">
        <v>23</v>
      </c>
      <c r="N6" s="64"/>
    </row>
    <row r="7" spans="1:257" ht="121.5">
      <c r="B7" s="54">
        <v>10002</v>
      </c>
      <c r="C7" s="53" t="s">
        <v>16</v>
      </c>
      <c r="D7" s="38" t="s">
        <v>24</v>
      </c>
      <c r="E7" s="60" t="s">
        <v>25</v>
      </c>
      <c r="F7" s="55">
        <v>2</v>
      </c>
      <c r="G7" s="56">
        <v>4</v>
      </c>
      <c r="H7" s="57">
        <f t="shared" si="0"/>
        <v>8</v>
      </c>
      <c r="I7" s="60" t="s">
        <v>26</v>
      </c>
      <c r="J7" s="60" t="s">
        <v>27</v>
      </c>
      <c r="K7" s="60" t="s">
        <v>28</v>
      </c>
      <c r="L7" s="60" t="s">
        <v>29</v>
      </c>
      <c r="M7" s="63" t="s">
        <v>30</v>
      </c>
      <c r="N7" s="64"/>
    </row>
    <row r="8" spans="1:257" ht="108">
      <c r="B8" s="54">
        <v>10003</v>
      </c>
      <c r="C8" s="53" t="s">
        <v>16</v>
      </c>
      <c r="D8" s="38" t="s">
        <v>31</v>
      </c>
      <c r="E8" s="60" t="s">
        <v>32</v>
      </c>
      <c r="F8" s="55">
        <v>2</v>
      </c>
      <c r="G8" s="56">
        <v>8</v>
      </c>
      <c r="H8" s="57">
        <f t="shared" si="0"/>
        <v>16</v>
      </c>
      <c r="I8" s="60" t="s">
        <v>33</v>
      </c>
      <c r="J8" s="60" t="s">
        <v>34</v>
      </c>
      <c r="K8" s="60" t="s">
        <v>35</v>
      </c>
      <c r="L8" s="60" t="s">
        <v>36</v>
      </c>
      <c r="M8" s="63" t="s">
        <v>37</v>
      </c>
      <c r="N8" s="64"/>
    </row>
    <row r="9" spans="1:257" ht="81">
      <c r="B9" s="54">
        <v>10004</v>
      </c>
      <c r="C9" s="53" t="s">
        <v>16</v>
      </c>
      <c r="D9" s="38" t="s">
        <v>38</v>
      </c>
      <c r="E9" s="60" t="s">
        <v>39</v>
      </c>
      <c r="F9" s="55">
        <v>1</v>
      </c>
      <c r="G9" s="56">
        <v>8</v>
      </c>
      <c r="H9" s="57">
        <f t="shared" si="0"/>
        <v>8</v>
      </c>
      <c r="I9" s="60" t="s">
        <v>40</v>
      </c>
      <c r="J9" s="60" t="s">
        <v>41</v>
      </c>
      <c r="K9" s="60" t="s">
        <v>42</v>
      </c>
      <c r="L9" s="60" t="s">
        <v>43</v>
      </c>
      <c r="M9" s="63" t="s">
        <v>44</v>
      </c>
      <c r="N9" s="64"/>
    </row>
    <row r="10" spans="1:257" ht="50.1" customHeight="1">
      <c r="B10" s="54"/>
      <c r="C10" s="53"/>
      <c r="D10" s="38"/>
      <c r="E10" s="60"/>
      <c r="F10" s="55">
        <v>1</v>
      </c>
      <c r="G10" s="56">
        <v>1</v>
      </c>
      <c r="H10" s="57">
        <f t="shared" si="0"/>
        <v>1</v>
      </c>
      <c r="I10" s="60"/>
      <c r="J10" s="60"/>
      <c r="K10" s="60"/>
      <c r="L10" s="60"/>
      <c r="M10" s="63"/>
      <c r="N10" s="64"/>
    </row>
    <row r="11" spans="1:257" ht="50.1" customHeight="1">
      <c r="B11" s="54"/>
      <c r="C11" s="53"/>
      <c r="D11" s="38"/>
      <c r="E11" s="60"/>
      <c r="F11" s="55">
        <v>1</v>
      </c>
      <c r="G11" s="56">
        <v>2</v>
      </c>
      <c r="H11" s="57">
        <f t="shared" si="0"/>
        <v>2</v>
      </c>
      <c r="I11" s="60"/>
      <c r="J11" s="60"/>
      <c r="K11" s="60"/>
      <c r="L11" s="60"/>
      <c r="M11" s="63"/>
      <c r="N11" s="64"/>
    </row>
    <row r="12" spans="1:257" ht="50.1" customHeight="1">
      <c r="B12" s="54"/>
      <c r="C12" s="53"/>
      <c r="D12" s="38"/>
      <c r="E12" s="60"/>
      <c r="F12" s="55">
        <v>1</v>
      </c>
      <c r="G12" s="56">
        <v>4</v>
      </c>
      <c r="H12" s="57">
        <f t="shared" si="0"/>
        <v>4</v>
      </c>
      <c r="I12" s="60"/>
      <c r="J12" s="60"/>
      <c r="K12" s="60"/>
      <c r="L12" s="60"/>
      <c r="M12" s="63"/>
      <c r="N12" s="64"/>
    </row>
    <row r="13" spans="1:257" ht="50.1" customHeight="1">
      <c r="B13" s="54"/>
      <c r="C13" s="53"/>
      <c r="D13" s="38"/>
      <c r="E13" s="60"/>
      <c r="F13" s="55">
        <v>1</v>
      </c>
      <c r="G13" s="56">
        <v>8</v>
      </c>
      <c r="H13" s="57">
        <f t="shared" si="0"/>
        <v>8</v>
      </c>
      <c r="I13" s="60"/>
      <c r="J13" s="60"/>
      <c r="K13" s="60"/>
      <c r="L13" s="60"/>
      <c r="M13" s="63"/>
      <c r="N13" s="64"/>
    </row>
    <row r="14" spans="1:257" ht="50.1" customHeight="1">
      <c r="B14" s="54"/>
      <c r="C14" s="53"/>
      <c r="D14" s="38"/>
      <c r="E14" s="60"/>
      <c r="F14" s="55">
        <v>1</v>
      </c>
      <c r="G14" s="56">
        <v>16</v>
      </c>
      <c r="H14" s="57">
        <f t="shared" si="0"/>
        <v>16</v>
      </c>
      <c r="I14" s="60"/>
      <c r="J14" s="60"/>
      <c r="K14" s="60"/>
      <c r="L14" s="60"/>
      <c r="M14" s="63"/>
      <c r="N14" s="64"/>
    </row>
    <row r="15" spans="1:257" ht="50.1" customHeight="1">
      <c r="B15" s="54"/>
      <c r="C15" s="53"/>
      <c r="D15" s="38"/>
      <c r="E15" s="60"/>
      <c r="F15" s="55">
        <v>2</v>
      </c>
      <c r="G15" s="56">
        <v>16</v>
      </c>
      <c r="H15" s="57">
        <f t="shared" si="0"/>
        <v>32</v>
      </c>
      <c r="I15" s="60"/>
      <c r="J15" s="60"/>
      <c r="K15" s="60"/>
      <c r="L15" s="60"/>
      <c r="M15" s="63"/>
      <c r="N15" s="64"/>
    </row>
    <row r="16" spans="1:257" ht="50.1" customHeight="1">
      <c r="B16" s="54"/>
      <c r="C16" s="53"/>
      <c r="D16" s="38"/>
      <c r="E16" s="60"/>
      <c r="F16" s="55">
        <v>3</v>
      </c>
      <c r="G16" s="56">
        <v>16</v>
      </c>
      <c r="H16" s="57">
        <f t="shared" si="0"/>
        <v>48</v>
      </c>
      <c r="I16" s="60"/>
      <c r="J16" s="60"/>
      <c r="K16" s="60"/>
      <c r="L16" s="60"/>
      <c r="M16" s="63"/>
      <c r="N16" s="64"/>
    </row>
    <row r="17" spans="2:14" ht="50.1" customHeight="1">
      <c r="B17" s="54"/>
      <c r="C17" s="53"/>
      <c r="D17" s="38"/>
      <c r="E17" s="60"/>
      <c r="F17" s="55">
        <v>4</v>
      </c>
      <c r="G17" s="56">
        <v>16</v>
      </c>
      <c r="H17" s="57">
        <f t="shared" si="0"/>
        <v>64</v>
      </c>
      <c r="I17" s="60"/>
      <c r="J17" s="60"/>
      <c r="K17" s="60"/>
      <c r="L17" s="60"/>
      <c r="M17" s="63"/>
      <c r="N17" s="64"/>
    </row>
    <row r="18" spans="2:14" ht="50.1" customHeight="1">
      <c r="B18" s="54"/>
      <c r="C18" s="53"/>
      <c r="D18" s="38"/>
      <c r="E18" s="60"/>
      <c r="F18" s="55">
        <v>5</v>
      </c>
      <c r="G18" s="56">
        <v>16</v>
      </c>
      <c r="H18" s="57">
        <f t="shared" si="0"/>
        <v>80</v>
      </c>
      <c r="I18" s="60"/>
      <c r="J18" s="60"/>
      <c r="K18" s="60"/>
      <c r="L18" s="60"/>
      <c r="M18" s="63"/>
      <c r="N18" s="64"/>
    </row>
    <row r="19" spans="2:14" ht="18" customHeight="1"/>
    <row r="20" spans="2:14" ht="15.95" customHeight="1"/>
    <row r="21" spans="2:14" ht="15.95" customHeight="1"/>
    <row r="22" spans="2:14" ht="15.95" customHeight="1"/>
    <row r="23" spans="2:14" ht="15.95" customHeight="1"/>
    <row r="24" spans="2:14" ht="15.95" customHeight="1"/>
    <row r="25" spans="2:14" ht="15.95" customHeight="1"/>
    <row r="26" spans="2:14" ht="15.95" customHeight="1"/>
    <row r="27" spans="2:14" ht="15.95" customHeight="1"/>
  </sheetData>
  <mergeCells count="1">
    <mergeCell ref="D4:E4"/>
  </mergeCells>
  <conditionalFormatting sqref="F6:F18">
    <cfRule type="containsText" dxfId="29" priority="1" operator="containsText" text="5">
      <formula>NOT(ISERROR(SEARCH("5",F6)))</formula>
    </cfRule>
    <cfRule type="containsText" dxfId="28" priority="2" operator="containsText" text="4">
      <formula>NOT(ISERROR(SEARCH("4",F6)))</formula>
    </cfRule>
    <cfRule type="containsText" dxfId="27" priority="3" operator="containsText" text="3">
      <formula>NOT(ISERROR(SEARCH("3",F6)))</formula>
    </cfRule>
    <cfRule type="containsText" dxfId="26" priority="4" operator="containsText" text="2">
      <formula>NOT(ISERROR(SEARCH("2",F6)))</formula>
    </cfRule>
    <cfRule type="containsText" dxfId="25" priority="5" operator="containsText" text="1">
      <formula>NOT(ISERROR(SEARCH("1",F6)))</formula>
    </cfRule>
  </conditionalFormatting>
  <conditionalFormatting sqref="G6:G18">
    <cfRule type="containsText" dxfId="24" priority="11" operator="containsText" text="16">
      <formula>NOT(ISERROR(SEARCH("16",G6)))</formula>
    </cfRule>
    <cfRule type="containsText" dxfId="23" priority="12" operator="containsText" text="8">
      <formula>NOT(ISERROR(SEARCH("8",G6)))</formula>
    </cfRule>
    <cfRule type="containsText" dxfId="22" priority="13" operator="containsText" text="4">
      <formula>NOT(ISERROR(SEARCH("4",G6)))</formula>
    </cfRule>
    <cfRule type="containsText" dxfId="21" priority="14" operator="containsText" text="2">
      <formula>NOT(ISERROR(SEARCH("2",G6)))</formula>
    </cfRule>
    <cfRule type="containsText" dxfId="20" priority="15" operator="containsText" text="1">
      <formula>NOT(ISERROR(SEARCH("1",G6)))</formula>
    </cfRule>
  </conditionalFormatting>
  <conditionalFormatting sqref="H6:H18">
    <cfRule type="cellIs" dxfId="19" priority="6" operator="between">
      <formula>40</formula>
      <formula>80</formula>
    </cfRule>
    <cfRule type="cellIs" dxfId="18" priority="7" operator="between">
      <formula>20</formula>
      <formula>32</formula>
    </cfRule>
    <cfRule type="cellIs" dxfId="17" priority="8" operator="between">
      <formula>10</formula>
      <formula>16</formula>
    </cfRule>
    <cfRule type="cellIs" dxfId="16" priority="9" operator="between">
      <formula>3</formula>
      <formula>8</formula>
    </cfRule>
    <cfRule type="cellIs" dxfId="15" priority="10" operator="between">
      <formula>1</formula>
      <formula>2</formula>
    </cfRule>
  </conditionalFormatting>
  <pageMargins left="0.3" right="0.3" top="0.3" bottom="0.3" header="0" footer="0"/>
  <pageSetup scale="33" fitToHeight="0" orientation="landscape" horizontalDpi="1200" verticalDpi="1200"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B2E51427-AA15-8441-9748-926BC7659744}">
          <x14:formula1>
            <xm:f>'Dropdown Keys – DO NOT DELETE –'!$B$18:$B$27</xm:f>
          </x14:formula1>
          <xm:sqref>D6:D18</xm:sqref>
        </x14:dataValidation>
        <x14:dataValidation type="list" allowBlank="1" showInputMessage="1" showErrorMessage="1" xr:uid="{9EACBF2B-7816-7041-8136-2A888C53B2B2}">
          <x14:formula1>
            <xm:f>'Dropdown Keys – DO NOT DELETE –'!$C$10:$C$14</xm:f>
          </x14:formula1>
          <xm:sqref>G6:G18</xm:sqref>
        </x14:dataValidation>
        <x14:dataValidation type="list" allowBlank="1" showInputMessage="1" showErrorMessage="1" xr:uid="{3161E41B-2793-9649-A989-6E838368F0AF}">
          <x14:formula1>
            <xm:f>'Dropdown Keys – DO NOT DELETE –'!$B$10:$B$14</xm:f>
          </x14:formula1>
          <xm:sqref>F6:F18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ED70D-599F-46FA-ACC4-898E54A7CA0A}">
  <sheetPr>
    <tabColor theme="3" tint="0.79998168889431442"/>
    <pageSetUpPr fitToPage="1"/>
  </sheetPr>
  <dimension ref="A1:IW15"/>
  <sheetViews>
    <sheetView showGridLines="0" tabSelected="1" topLeftCell="D5" zoomScaleNormal="100" workbookViewId="0">
      <selection activeCell="J10" sqref="J10"/>
    </sheetView>
  </sheetViews>
  <sheetFormatPr defaultColWidth="11" defaultRowHeight="15.75"/>
  <cols>
    <col min="1" max="1" width="3.375" customWidth="1"/>
    <col min="2" max="2" width="10.875" style="1" customWidth="1"/>
    <col min="3" max="3" width="10.875" style="5" customWidth="1"/>
    <col min="4" max="4" width="13.5" style="1" customWidth="1"/>
    <col min="5" max="5" width="29.375" style="1" customWidth="1"/>
    <col min="6" max="6" width="12.875" style="5" customWidth="1"/>
    <col min="7" max="7" width="12.875" style="1" customWidth="1"/>
    <col min="8" max="8" width="13.875" style="1" customWidth="1"/>
    <col min="9" max="12" width="15.875" style="1" customWidth="1"/>
    <col min="13" max="13" width="12.875" style="1" customWidth="1"/>
    <col min="14" max="14" width="20.875" style="1" customWidth="1"/>
    <col min="15" max="15" width="3.375" customWidth="1"/>
  </cols>
  <sheetData>
    <row r="1" spans="1:257" s="45" customFormat="1" ht="42" customHeight="1">
      <c r="A1" s="46"/>
      <c r="B1" s="47" t="s">
        <v>45</v>
      </c>
      <c r="C1"/>
      <c r="D1"/>
      <c r="E1"/>
      <c r="F1"/>
      <c r="G1"/>
      <c r="H1"/>
      <c r="I1"/>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46"/>
      <c r="CB1" s="46"/>
      <c r="CC1" s="46"/>
      <c r="CD1" s="46"/>
      <c r="CE1" s="46"/>
      <c r="CF1" s="46"/>
      <c r="CG1" s="46"/>
      <c r="CH1" s="46"/>
      <c r="CI1" s="46"/>
      <c r="CJ1" s="46"/>
      <c r="CK1" s="46"/>
      <c r="CL1" s="46"/>
      <c r="CM1" s="46"/>
      <c r="CN1" s="46"/>
      <c r="CO1" s="46"/>
      <c r="CP1" s="46"/>
      <c r="CQ1" s="46"/>
      <c r="CR1" s="46"/>
      <c r="CS1" s="46"/>
      <c r="CT1" s="46"/>
      <c r="CU1" s="46"/>
      <c r="CV1" s="46"/>
      <c r="CW1" s="46"/>
      <c r="CX1" s="46"/>
      <c r="CY1" s="46"/>
      <c r="CZ1" s="46"/>
      <c r="DA1" s="46"/>
      <c r="DB1" s="46"/>
      <c r="DC1" s="46"/>
      <c r="DD1" s="46"/>
      <c r="DE1" s="46"/>
      <c r="DF1" s="46"/>
      <c r="DG1" s="46"/>
      <c r="DH1" s="46"/>
      <c r="DI1" s="46"/>
      <c r="DJ1" s="46"/>
      <c r="DK1" s="46"/>
      <c r="DL1" s="46"/>
      <c r="DM1" s="46"/>
      <c r="DN1" s="46"/>
      <c r="DO1" s="46"/>
      <c r="DP1" s="46"/>
      <c r="DQ1" s="46"/>
      <c r="DR1" s="46"/>
      <c r="DS1" s="46"/>
      <c r="DT1" s="46"/>
      <c r="DU1" s="46"/>
      <c r="DV1" s="46"/>
      <c r="DW1" s="46"/>
      <c r="DX1" s="46"/>
      <c r="DY1" s="46"/>
      <c r="DZ1" s="46"/>
      <c r="EA1" s="46"/>
      <c r="EB1" s="46"/>
      <c r="EC1" s="46"/>
      <c r="ED1" s="46"/>
      <c r="EE1" s="46"/>
      <c r="EF1" s="46"/>
      <c r="EG1" s="46"/>
      <c r="EH1" s="46"/>
      <c r="EI1" s="46"/>
      <c r="EJ1" s="46"/>
      <c r="EK1" s="46"/>
      <c r="EL1" s="46"/>
      <c r="EM1" s="46"/>
      <c r="EN1" s="46"/>
      <c r="EO1" s="46"/>
      <c r="EP1" s="46"/>
      <c r="EQ1" s="46"/>
      <c r="ER1" s="46"/>
      <c r="ES1" s="46"/>
      <c r="ET1" s="46"/>
      <c r="EU1" s="46"/>
      <c r="EV1" s="46"/>
      <c r="EW1" s="46"/>
      <c r="EX1" s="46"/>
      <c r="EY1" s="46"/>
      <c r="EZ1" s="46"/>
      <c r="FA1" s="46"/>
      <c r="FB1" s="46"/>
      <c r="FC1" s="46"/>
      <c r="FD1" s="46"/>
      <c r="FE1" s="46"/>
      <c r="FF1" s="46"/>
      <c r="FG1" s="46"/>
      <c r="FH1" s="46"/>
      <c r="FI1" s="46"/>
      <c r="FJ1" s="46"/>
      <c r="FK1" s="46"/>
      <c r="FL1" s="46"/>
      <c r="FM1" s="46"/>
      <c r="FN1" s="46"/>
      <c r="FO1" s="46"/>
      <c r="FP1" s="46"/>
      <c r="FQ1" s="46"/>
      <c r="FR1" s="46"/>
      <c r="FS1" s="46"/>
      <c r="FT1" s="46"/>
      <c r="FU1" s="46"/>
      <c r="FV1" s="46"/>
      <c r="FW1" s="46"/>
      <c r="FX1" s="46"/>
      <c r="FY1" s="46"/>
      <c r="FZ1" s="46"/>
      <c r="GA1" s="46"/>
      <c r="GB1" s="46"/>
      <c r="GC1" s="46"/>
      <c r="GD1" s="46"/>
      <c r="GE1" s="46"/>
      <c r="GF1" s="46"/>
      <c r="GG1" s="46"/>
      <c r="GH1" s="46"/>
      <c r="GI1" s="46"/>
      <c r="GJ1" s="46"/>
      <c r="GK1" s="46"/>
      <c r="GL1" s="46"/>
      <c r="GM1" s="46"/>
      <c r="GN1" s="46"/>
      <c r="GO1" s="46"/>
      <c r="GP1" s="46"/>
      <c r="GQ1" s="46"/>
      <c r="GR1" s="46"/>
      <c r="GS1" s="46"/>
      <c r="GT1" s="46"/>
      <c r="GU1" s="46"/>
      <c r="GV1" s="46"/>
      <c r="GW1" s="46"/>
      <c r="GX1" s="46"/>
      <c r="GY1" s="46"/>
      <c r="GZ1" s="46"/>
      <c r="HA1" s="46"/>
      <c r="HB1" s="46"/>
      <c r="HC1" s="46"/>
      <c r="HD1" s="46"/>
      <c r="HE1" s="46"/>
      <c r="HF1" s="46"/>
      <c r="HG1" s="46"/>
      <c r="HH1" s="46"/>
      <c r="HI1" s="46"/>
      <c r="HJ1" s="46"/>
      <c r="HK1" s="46"/>
      <c r="HL1" s="46"/>
      <c r="HM1" s="46"/>
      <c r="HN1" s="46"/>
      <c r="HO1" s="46"/>
      <c r="HP1" s="46"/>
      <c r="HQ1" s="46"/>
      <c r="HR1" s="46"/>
      <c r="HS1" s="46"/>
      <c r="HT1" s="46"/>
      <c r="HU1" s="46"/>
      <c r="HV1" s="46"/>
      <c r="HW1" s="46"/>
      <c r="HX1" s="46"/>
      <c r="HY1" s="46"/>
      <c r="HZ1" s="46"/>
      <c r="IA1" s="46"/>
      <c r="IB1" s="46"/>
      <c r="IC1" s="46"/>
      <c r="ID1" s="46"/>
      <c r="IE1" s="46"/>
      <c r="IF1" s="46"/>
      <c r="IG1" s="46"/>
      <c r="IH1" s="46"/>
      <c r="II1" s="46"/>
      <c r="IJ1" s="46"/>
      <c r="IK1" s="46"/>
      <c r="IL1" s="46"/>
      <c r="IM1" s="46"/>
      <c r="IN1" s="46"/>
      <c r="IO1" s="46"/>
      <c r="IP1" s="46"/>
      <c r="IQ1" s="46"/>
      <c r="IR1" s="46"/>
      <c r="IS1" s="46"/>
      <c r="IT1" s="46"/>
      <c r="IU1" s="46"/>
      <c r="IV1" s="46"/>
      <c r="IW1" s="46"/>
    </row>
    <row r="2" spans="1:257" ht="138.94999999999999" customHeight="1">
      <c r="C2" s="1"/>
      <c r="F2" s="1"/>
      <c r="K2"/>
      <c r="L2"/>
      <c r="M2"/>
      <c r="N2"/>
    </row>
    <row r="3" spans="1:257" ht="78.95" customHeight="1" thickBot="1">
      <c r="B3" s="62"/>
      <c r="C3"/>
      <c r="D3" s="92" t="s">
        <v>1</v>
      </c>
      <c r="E3" s="92"/>
      <c r="F3"/>
      <c r="G3"/>
      <c r="H3" s="61" t="s">
        <v>2</v>
      </c>
      <c r="I3"/>
      <c r="J3"/>
      <c r="K3"/>
      <c r="L3"/>
      <c r="M3"/>
      <c r="N3"/>
    </row>
    <row r="4" spans="1:257" s="4" customFormat="1" ht="54.95" customHeight="1">
      <c r="A4" s="3"/>
      <c r="B4" s="48" t="s">
        <v>3</v>
      </c>
      <c r="C4" s="48" t="s">
        <v>4</v>
      </c>
      <c r="D4" s="49" t="s">
        <v>5</v>
      </c>
      <c r="E4" s="49" t="s">
        <v>6</v>
      </c>
      <c r="F4" s="50" t="s">
        <v>7</v>
      </c>
      <c r="G4" s="51" t="s">
        <v>8</v>
      </c>
      <c r="H4" s="50" t="s">
        <v>9</v>
      </c>
      <c r="I4" s="49" t="s">
        <v>10</v>
      </c>
      <c r="J4" s="49" t="s">
        <v>11</v>
      </c>
      <c r="K4" s="49" t="s">
        <v>12</v>
      </c>
      <c r="L4" s="49" t="s">
        <v>13</v>
      </c>
      <c r="M4" s="49" t="s">
        <v>14</v>
      </c>
      <c r="N4" s="49" t="s">
        <v>15</v>
      </c>
      <c r="O4" s="3"/>
    </row>
    <row r="5" spans="1:257" ht="50.1" customHeight="1">
      <c r="B5" s="52">
        <v>100</v>
      </c>
      <c r="C5" s="53">
        <v>46154</v>
      </c>
      <c r="D5" s="38" t="s">
        <v>46</v>
      </c>
      <c r="E5" s="60" t="s">
        <v>47</v>
      </c>
      <c r="F5" s="55">
        <v>5</v>
      </c>
      <c r="G5" s="56">
        <v>8</v>
      </c>
      <c r="H5" s="57">
        <f t="shared" ref="H5:H13" si="0">F5*G5</f>
        <v>40</v>
      </c>
      <c r="I5" s="60" t="s">
        <v>48</v>
      </c>
      <c r="J5" s="60" t="s">
        <v>49</v>
      </c>
      <c r="K5" s="65" t="s">
        <v>50</v>
      </c>
      <c r="L5" s="60"/>
      <c r="M5" s="90" t="s">
        <v>51</v>
      </c>
      <c r="N5" s="58"/>
    </row>
    <row r="6" spans="1:257" ht="50.1" customHeight="1">
      <c r="B6" s="52">
        <f t="shared" ref="B6:B15" si="1">B5+1</f>
        <v>101</v>
      </c>
      <c r="C6" s="53">
        <v>46154</v>
      </c>
      <c r="D6" s="38" t="s">
        <v>46</v>
      </c>
      <c r="E6" s="60" t="s">
        <v>52</v>
      </c>
      <c r="F6" s="55">
        <v>5</v>
      </c>
      <c r="G6" s="56">
        <v>2</v>
      </c>
      <c r="H6" s="57">
        <f t="shared" si="0"/>
        <v>10</v>
      </c>
      <c r="I6" s="60" t="s">
        <v>53</v>
      </c>
      <c r="J6" s="60" t="s">
        <v>54</v>
      </c>
      <c r="K6" s="67" t="s">
        <v>55</v>
      </c>
      <c r="L6" s="60"/>
      <c r="M6" s="90" t="s">
        <v>56</v>
      </c>
      <c r="N6" s="58"/>
    </row>
    <row r="7" spans="1:257" ht="50.1" customHeight="1">
      <c r="B7" s="52">
        <f t="shared" si="1"/>
        <v>102</v>
      </c>
      <c r="C7" s="53">
        <v>46154</v>
      </c>
      <c r="D7" s="38" t="s">
        <v>57</v>
      </c>
      <c r="E7" s="60" t="s">
        <v>58</v>
      </c>
      <c r="F7" s="55">
        <v>4</v>
      </c>
      <c r="G7" s="56">
        <v>4</v>
      </c>
      <c r="H7" s="57">
        <f t="shared" si="0"/>
        <v>16</v>
      </c>
      <c r="I7" s="71" t="s">
        <v>53</v>
      </c>
      <c r="J7" s="78" t="s">
        <v>59</v>
      </c>
      <c r="K7" s="77" t="s">
        <v>60</v>
      </c>
      <c r="L7" s="68"/>
      <c r="M7" s="90" t="s">
        <v>51</v>
      </c>
      <c r="N7" s="58"/>
    </row>
    <row r="8" spans="1:257" ht="50.1" customHeight="1">
      <c r="B8" s="52">
        <f t="shared" si="1"/>
        <v>103</v>
      </c>
      <c r="C8" s="53">
        <v>46154</v>
      </c>
      <c r="D8" s="38" t="s">
        <v>46</v>
      </c>
      <c r="E8" s="60" t="s">
        <v>61</v>
      </c>
      <c r="F8" s="55">
        <v>2</v>
      </c>
      <c r="G8" s="56">
        <v>2</v>
      </c>
      <c r="H8" s="70">
        <f t="shared" si="0"/>
        <v>4</v>
      </c>
      <c r="I8" s="82" t="s">
        <v>53</v>
      </c>
      <c r="J8" s="80" t="s">
        <v>62</v>
      </c>
      <c r="K8" s="79" t="s">
        <v>63</v>
      </c>
      <c r="L8" s="68"/>
      <c r="M8" s="90" t="s">
        <v>64</v>
      </c>
      <c r="N8" s="58"/>
    </row>
    <row r="9" spans="1:257" ht="50.1" customHeight="1">
      <c r="B9" s="52">
        <f t="shared" si="1"/>
        <v>104</v>
      </c>
      <c r="C9" s="53">
        <v>46154</v>
      </c>
      <c r="D9" s="38" t="s">
        <v>65</v>
      </c>
      <c r="E9" s="60" t="s">
        <v>66</v>
      </c>
      <c r="F9" s="55">
        <v>2</v>
      </c>
      <c r="G9" s="56">
        <v>16</v>
      </c>
      <c r="H9" s="70">
        <f t="shared" si="0"/>
        <v>32</v>
      </c>
      <c r="I9" s="74" t="s">
        <v>53</v>
      </c>
      <c r="J9" s="81" t="s">
        <v>67</v>
      </c>
      <c r="K9" s="72" t="s">
        <v>68</v>
      </c>
      <c r="L9" s="68"/>
      <c r="M9" s="90" t="s">
        <v>51</v>
      </c>
      <c r="N9" s="58"/>
    </row>
    <row r="10" spans="1:257" ht="50.1" customHeight="1">
      <c r="B10" s="52">
        <f t="shared" si="1"/>
        <v>105</v>
      </c>
      <c r="C10" s="53">
        <v>46154</v>
      </c>
      <c r="D10" s="38" t="s">
        <v>24</v>
      </c>
      <c r="E10" s="60" t="s">
        <v>69</v>
      </c>
      <c r="F10" s="55">
        <v>1</v>
      </c>
      <c r="G10" s="56">
        <v>16</v>
      </c>
      <c r="H10" s="70">
        <f t="shared" si="0"/>
        <v>16</v>
      </c>
      <c r="I10" s="83" t="s">
        <v>70</v>
      </c>
      <c r="J10" s="84" t="s">
        <v>71</v>
      </c>
      <c r="K10" s="73" t="s">
        <v>72</v>
      </c>
      <c r="L10" s="76"/>
      <c r="M10" s="90" t="s">
        <v>73</v>
      </c>
      <c r="N10" s="58"/>
    </row>
    <row r="11" spans="1:257" ht="50.1" customHeight="1">
      <c r="B11" s="52">
        <f t="shared" si="1"/>
        <v>106</v>
      </c>
      <c r="C11" s="53">
        <v>46154</v>
      </c>
      <c r="D11" s="38" t="s">
        <v>46</v>
      </c>
      <c r="E11" s="60" t="s">
        <v>74</v>
      </c>
      <c r="F11" s="55">
        <v>4</v>
      </c>
      <c r="G11" s="56">
        <v>2</v>
      </c>
      <c r="H11" s="57">
        <f t="shared" si="0"/>
        <v>8</v>
      </c>
      <c r="I11" s="69" t="s">
        <v>53</v>
      </c>
      <c r="J11" s="85" t="s">
        <v>75</v>
      </c>
      <c r="K11" s="75"/>
      <c r="L11" s="74"/>
      <c r="M11" s="91" t="s">
        <v>76</v>
      </c>
      <c r="N11" s="58"/>
    </row>
    <row r="12" spans="1:257" ht="50.1" customHeight="1">
      <c r="B12" s="52">
        <f t="shared" si="1"/>
        <v>107</v>
      </c>
      <c r="C12" s="53">
        <v>46154</v>
      </c>
      <c r="D12" s="38" t="s">
        <v>24</v>
      </c>
      <c r="E12" s="60" t="s">
        <v>77</v>
      </c>
      <c r="F12" s="55">
        <v>5</v>
      </c>
      <c r="G12" s="56">
        <v>2</v>
      </c>
      <c r="H12" s="57">
        <f t="shared" si="0"/>
        <v>10</v>
      </c>
      <c r="I12" s="60" t="s">
        <v>70</v>
      </c>
      <c r="J12" s="87" t="s">
        <v>78</v>
      </c>
      <c r="K12" s="93" t="s">
        <v>79</v>
      </c>
      <c r="L12" s="69"/>
      <c r="M12" s="90" t="s">
        <v>80</v>
      </c>
      <c r="N12" s="58"/>
    </row>
    <row r="13" spans="1:257" ht="50.1" customHeight="1">
      <c r="B13" s="52">
        <f t="shared" si="1"/>
        <v>108</v>
      </c>
      <c r="C13" s="53">
        <v>46154</v>
      </c>
      <c r="D13" s="38" t="s">
        <v>81</v>
      </c>
      <c r="E13" s="60" t="s">
        <v>82</v>
      </c>
      <c r="F13" s="55">
        <v>2</v>
      </c>
      <c r="G13" s="56">
        <v>2</v>
      </c>
      <c r="H13" s="57">
        <f t="shared" si="0"/>
        <v>4</v>
      </c>
      <c r="I13" s="60" t="s">
        <v>53</v>
      </c>
      <c r="J13" s="87" t="s">
        <v>83</v>
      </c>
      <c r="K13" s="86" t="s">
        <v>84</v>
      </c>
      <c r="L13" s="60"/>
      <c r="M13" s="90" t="s">
        <v>85</v>
      </c>
      <c r="N13" s="58"/>
    </row>
    <row r="14" spans="1:257" ht="50.1" customHeight="1">
      <c r="B14" s="52">
        <f t="shared" si="1"/>
        <v>109</v>
      </c>
      <c r="C14" s="53">
        <v>46154</v>
      </c>
      <c r="D14" s="38" t="s">
        <v>24</v>
      </c>
      <c r="E14" s="60" t="s">
        <v>86</v>
      </c>
      <c r="F14" s="55">
        <v>4</v>
      </c>
      <c r="G14" s="56">
        <v>16</v>
      </c>
      <c r="H14" s="57">
        <f t="shared" ref="H14:H15" si="2">F14*G14</f>
        <v>64</v>
      </c>
      <c r="I14" s="60" t="s">
        <v>87</v>
      </c>
      <c r="J14" s="87" t="s">
        <v>88</v>
      </c>
      <c r="K14" s="89" t="s">
        <v>89</v>
      </c>
      <c r="L14" s="60"/>
      <c r="M14" s="90" t="s">
        <v>51</v>
      </c>
      <c r="N14" s="58"/>
    </row>
    <row r="15" spans="1:257" ht="50.1" customHeight="1">
      <c r="B15" s="52">
        <f t="shared" si="1"/>
        <v>110</v>
      </c>
      <c r="C15" s="53">
        <v>46155</v>
      </c>
      <c r="D15" s="38" t="s">
        <v>90</v>
      </c>
      <c r="E15" s="60" t="s">
        <v>91</v>
      </c>
      <c r="F15" s="55">
        <v>3</v>
      </c>
      <c r="G15" s="56">
        <v>8</v>
      </c>
      <c r="H15" s="57">
        <f t="shared" si="2"/>
        <v>24</v>
      </c>
      <c r="I15" s="60" t="s">
        <v>92</v>
      </c>
      <c r="J15" s="66" t="s">
        <v>93</v>
      </c>
      <c r="K15" s="88" t="s">
        <v>94</v>
      </c>
      <c r="L15" s="60"/>
      <c r="M15" s="90" t="s">
        <v>64</v>
      </c>
      <c r="N15" s="58"/>
    </row>
  </sheetData>
  <mergeCells count="1">
    <mergeCell ref="D3:E3"/>
  </mergeCells>
  <conditionalFormatting sqref="F5:F15">
    <cfRule type="containsText" dxfId="14" priority="1" operator="containsText" text="5">
      <formula>NOT(ISERROR(SEARCH("5",F5)))</formula>
    </cfRule>
    <cfRule type="containsText" dxfId="13" priority="2" operator="containsText" text="4">
      <formula>NOT(ISERROR(SEARCH("4",F5)))</formula>
    </cfRule>
    <cfRule type="containsText" dxfId="12" priority="3" operator="containsText" text="3">
      <formula>NOT(ISERROR(SEARCH("3",F5)))</formula>
    </cfRule>
    <cfRule type="containsText" dxfId="11" priority="4" operator="containsText" text="2">
      <formula>NOT(ISERROR(SEARCH("2",F5)))</formula>
    </cfRule>
    <cfRule type="containsText" dxfId="10" priority="5" operator="containsText" text="1">
      <formula>NOT(ISERROR(SEARCH("1",F5)))</formula>
    </cfRule>
  </conditionalFormatting>
  <conditionalFormatting sqref="G5:G15">
    <cfRule type="containsText" dxfId="9" priority="11" operator="containsText" text="16">
      <formula>NOT(ISERROR(SEARCH("16",G5)))</formula>
    </cfRule>
    <cfRule type="containsText" dxfId="8" priority="12" operator="containsText" text="8">
      <formula>NOT(ISERROR(SEARCH("8",G5)))</formula>
    </cfRule>
    <cfRule type="containsText" dxfId="7" priority="13" operator="containsText" text="4">
      <formula>NOT(ISERROR(SEARCH("4",G5)))</formula>
    </cfRule>
    <cfRule type="containsText" dxfId="6" priority="14" operator="containsText" text="2">
      <formula>NOT(ISERROR(SEARCH("2",G5)))</formula>
    </cfRule>
    <cfRule type="containsText" dxfId="5" priority="15" operator="containsText" text="1">
      <formula>NOT(ISERROR(SEARCH("1",G5)))</formula>
    </cfRule>
  </conditionalFormatting>
  <conditionalFormatting sqref="H5:H15">
    <cfRule type="cellIs" dxfId="4" priority="6" operator="between">
      <formula>40</formula>
      <formula>80</formula>
    </cfRule>
    <cfRule type="cellIs" dxfId="3" priority="7" operator="between">
      <formula>20</formula>
      <formula>32</formula>
    </cfRule>
    <cfRule type="cellIs" dxfId="2" priority="8" operator="between">
      <formula>10</formula>
      <formula>16</formula>
    </cfRule>
    <cfRule type="cellIs" dxfId="1" priority="9" operator="between">
      <formula>3</formula>
      <formula>8</formula>
    </cfRule>
    <cfRule type="cellIs" dxfId="0" priority="10" operator="between">
      <formula>1</formula>
      <formula>2</formula>
    </cfRule>
  </conditionalFormatting>
  <pageMargins left="0.3" right="0.3" top="0.3" bottom="0.3" header="0" footer="0"/>
  <pageSetup scale="33" fitToHeight="0" orientation="landscape" horizontalDpi="1200" verticalDpi="1200"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9C6CE682-3211-FD4F-940A-C17830527994}">
          <x14:formula1>
            <xm:f>'Dropdown Keys – DO NOT DELETE –'!$B$10:$B$14</xm:f>
          </x14:formula1>
          <xm:sqref>F5:F15</xm:sqref>
        </x14:dataValidation>
        <x14:dataValidation type="list" allowBlank="1" showInputMessage="1" showErrorMessage="1" xr:uid="{F6FA002F-1068-814B-B4FB-03F5370E33EE}">
          <x14:formula1>
            <xm:f>'Dropdown Keys – DO NOT DELETE –'!$C$10:$C$14</xm:f>
          </x14:formula1>
          <xm:sqref>G5:G15</xm:sqref>
        </x14:dataValidation>
        <x14:dataValidation type="list" allowBlank="1" showInputMessage="1" showErrorMessage="1" xr:uid="{B0984367-0A28-8F4C-8FBF-C2EFA16BE130}">
          <x14:formula1>
            <xm:f>'Dropdown Keys – DO NOT DELETE –'!$B$18:$B$27</xm:f>
          </x14:formula1>
          <xm:sqref>D5:D15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8A10D-927C-AD49-AEB7-FCDBCBA7DEA4}">
  <sheetPr>
    <tabColor theme="2" tint="-0.249977111117893"/>
  </sheetPr>
  <dimension ref="A1:IX27"/>
  <sheetViews>
    <sheetView showGridLines="0" workbookViewId="0">
      <selection activeCell="B24" sqref="B24"/>
    </sheetView>
  </sheetViews>
  <sheetFormatPr defaultColWidth="11" defaultRowHeight="15.75"/>
  <cols>
    <col min="1" max="1" width="3.375" customWidth="1"/>
    <col min="2" max="4" width="22.875" customWidth="1"/>
    <col min="5" max="5" width="3.375" customWidth="1"/>
    <col min="6" max="6" width="4" customWidth="1"/>
    <col min="7" max="7" width="3.375" customWidth="1"/>
    <col min="13" max="13" width="6.5" customWidth="1"/>
    <col min="14" max="14" width="19.875" customWidth="1"/>
    <col min="15" max="15" width="3.375" customWidth="1"/>
    <col min="16" max="16" width="19.875" customWidth="1"/>
    <col min="17" max="17" width="3.375" customWidth="1"/>
  </cols>
  <sheetData>
    <row r="1" spans="1:258" s="45" customFormat="1" ht="42" customHeight="1" thickBot="1">
      <c r="A1" s="46"/>
      <c r="B1" s="47" t="s">
        <v>95</v>
      </c>
      <c r="C1"/>
      <c r="D1"/>
      <c r="E1"/>
      <c r="F1" s="46"/>
      <c r="G1"/>
      <c r="H1"/>
      <c r="I1"/>
      <c r="J1"/>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46"/>
      <c r="CB1" s="46"/>
      <c r="CC1" s="46"/>
      <c r="CD1" s="46"/>
      <c r="CE1" s="46"/>
      <c r="CF1" s="46"/>
      <c r="CG1" s="46"/>
      <c r="CH1" s="46"/>
      <c r="CI1" s="46"/>
      <c r="CJ1" s="46"/>
      <c r="CK1" s="46"/>
      <c r="CL1" s="46"/>
      <c r="CM1" s="46"/>
      <c r="CN1" s="46"/>
      <c r="CO1" s="46"/>
      <c r="CP1" s="46"/>
      <c r="CQ1" s="46"/>
      <c r="CR1" s="46"/>
      <c r="CS1" s="46"/>
      <c r="CT1" s="46"/>
      <c r="CU1" s="46"/>
      <c r="CV1" s="46"/>
      <c r="CW1" s="46"/>
      <c r="CX1" s="46"/>
      <c r="CY1" s="46"/>
      <c r="CZ1" s="46"/>
      <c r="DA1" s="46"/>
      <c r="DB1" s="46"/>
      <c r="DC1" s="46"/>
      <c r="DD1" s="46"/>
      <c r="DE1" s="46"/>
      <c r="DF1" s="46"/>
      <c r="DG1" s="46"/>
      <c r="DH1" s="46"/>
      <c r="DI1" s="46"/>
      <c r="DJ1" s="46"/>
      <c r="DK1" s="46"/>
      <c r="DL1" s="46"/>
      <c r="DM1" s="46"/>
      <c r="DN1" s="46"/>
      <c r="DO1" s="46"/>
      <c r="DP1" s="46"/>
      <c r="DQ1" s="46"/>
      <c r="DR1" s="46"/>
      <c r="DS1" s="46"/>
      <c r="DT1" s="46"/>
      <c r="DU1" s="46"/>
      <c r="DV1" s="46"/>
      <c r="DW1" s="46"/>
      <c r="DX1" s="46"/>
      <c r="DY1" s="46"/>
      <c r="DZ1" s="46"/>
      <c r="EA1" s="46"/>
      <c r="EB1" s="46"/>
      <c r="EC1" s="46"/>
      <c r="ED1" s="46"/>
      <c r="EE1" s="46"/>
      <c r="EF1" s="46"/>
      <c r="EG1" s="46"/>
      <c r="EH1" s="46"/>
      <c r="EI1" s="46"/>
      <c r="EJ1" s="46"/>
      <c r="EK1" s="46"/>
      <c r="EL1" s="46"/>
      <c r="EM1" s="46"/>
      <c r="EN1" s="46"/>
      <c r="EO1" s="46"/>
      <c r="EP1" s="46"/>
      <c r="EQ1" s="46"/>
      <c r="ER1" s="46"/>
      <c r="ES1" s="46"/>
      <c r="ET1" s="46"/>
      <c r="EU1" s="46"/>
      <c r="EV1" s="46"/>
      <c r="EW1" s="46"/>
      <c r="EX1" s="46"/>
      <c r="EY1" s="46"/>
      <c r="EZ1" s="46"/>
      <c r="FA1" s="46"/>
      <c r="FB1" s="46"/>
      <c r="FC1" s="46"/>
      <c r="FD1" s="46"/>
      <c r="FE1" s="46"/>
      <c r="FF1" s="46"/>
      <c r="FG1" s="46"/>
      <c r="FH1" s="46"/>
      <c r="FI1" s="46"/>
      <c r="FJ1" s="46"/>
      <c r="FK1" s="46"/>
      <c r="FL1" s="46"/>
      <c r="FM1" s="46"/>
      <c r="FN1" s="46"/>
      <c r="FO1" s="46"/>
      <c r="FP1" s="46"/>
      <c r="FQ1" s="46"/>
      <c r="FR1" s="46"/>
      <c r="FS1" s="46"/>
      <c r="FT1" s="46"/>
      <c r="FU1" s="46"/>
      <c r="FV1" s="46"/>
      <c r="FW1" s="46"/>
      <c r="FX1" s="46"/>
      <c r="FY1" s="46"/>
      <c r="FZ1" s="46"/>
      <c r="GA1" s="46"/>
      <c r="GB1" s="46"/>
      <c r="GC1" s="46"/>
      <c r="GD1" s="46"/>
      <c r="GE1" s="46"/>
      <c r="GF1" s="46"/>
      <c r="GG1" s="46"/>
      <c r="GH1" s="46"/>
      <c r="GI1" s="46"/>
      <c r="GJ1" s="46"/>
      <c r="GK1" s="46"/>
      <c r="GL1" s="46"/>
      <c r="GM1" s="46"/>
      <c r="GN1" s="46"/>
      <c r="GO1" s="46"/>
      <c r="GP1" s="46"/>
      <c r="GQ1" s="46"/>
      <c r="GR1" s="46"/>
      <c r="GS1" s="46"/>
      <c r="GT1" s="46"/>
      <c r="GU1" s="46"/>
      <c r="GV1" s="46"/>
      <c r="GW1" s="46"/>
      <c r="GX1" s="46"/>
      <c r="GY1" s="46"/>
      <c r="GZ1" s="46"/>
      <c r="HA1" s="46"/>
      <c r="HB1" s="46"/>
      <c r="HC1" s="46"/>
      <c r="HD1" s="46"/>
      <c r="HE1" s="46"/>
      <c r="HF1" s="46"/>
      <c r="HG1" s="46"/>
      <c r="HH1" s="46"/>
      <c r="HI1" s="46"/>
      <c r="HJ1" s="46"/>
      <c r="HK1" s="46"/>
      <c r="HL1" s="46"/>
      <c r="HM1" s="46"/>
      <c r="HN1" s="46"/>
      <c r="HO1" s="46"/>
      <c r="HP1" s="46"/>
      <c r="HQ1" s="46"/>
      <c r="HR1" s="46"/>
      <c r="HS1" s="46"/>
      <c r="HT1" s="46"/>
      <c r="HU1" s="46"/>
      <c r="HV1" s="46"/>
      <c r="HW1" s="46"/>
      <c r="HX1" s="46"/>
      <c r="HY1" s="46"/>
      <c r="HZ1" s="46"/>
      <c r="IA1" s="46"/>
      <c r="IB1" s="46"/>
      <c r="IC1" s="46"/>
      <c r="ID1" s="46"/>
      <c r="IE1" s="46"/>
      <c r="IF1" s="46"/>
      <c r="IG1" s="46"/>
      <c r="IH1" s="46"/>
      <c r="II1" s="46"/>
      <c r="IJ1" s="46"/>
      <c r="IK1" s="46"/>
      <c r="IL1" s="46"/>
      <c r="IM1" s="46"/>
      <c r="IN1" s="46"/>
      <c r="IO1" s="46"/>
      <c r="IP1" s="46"/>
      <c r="IQ1" s="46"/>
      <c r="IR1" s="46"/>
      <c r="IS1" s="46"/>
      <c r="IT1" s="46"/>
      <c r="IU1" s="46"/>
      <c r="IV1" s="46"/>
      <c r="IW1" s="46"/>
      <c r="IX1" s="46"/>
    </row>
    <row r="2" spans="1:258" ht="24.95" customHeight="1">
      <c r="B2" s="44" t="s">
        <v>96</v>
      </c>
      <c r="C2" s="44" t="s">
        <v>97</v>
      </c>
      <c r="D2" s="44" t="s">
        <v>98</v>
      </c>
      <c r="E2" s="42"/>
      <c r="G2" s="7"/>
      <c r="H2" s="43">
        <v>1</v>
      </c>
      <c r="I2" s="43">
        <v>2</v>
      </c>
      <c r="J2" s="43">
        <v>3</v>
      </c>
      <c r="K2" s="43">
        <v>4</v>
      </c>
      <c r="L2" s="43">
        <v>5</v>
      </c>
      <c r="M2" s="42"/>
      <c r="O2" s="41"/>
    </row>
    <row r="3" spans="1:258" ht="24.95" customHeight="1">
      <c r="B3" s="39" t="s">
        <v>99</v>
      </c>
      <c r="C3" s="38" t="s">
        <v>100</v>
      </c>
      <c r="D3" s="37" t="s">
        <v>101</v>
      </c>
      <c r="E3" s="2"/>
      <c r="G3" s="7">
        <v>1</v>
      </c>
      <c r="H3" s="31">
        <f>H2*$G$3</f>
        <v>1</v>
      </c>
      <c r="I3" s="31">
        <f>I2*$G$3</f>
        <v>2</v>
      </c>
      <c r="J3" s="20">
        <f>J2*$G$3</f>
        <v>3</v>
      </c>
      <c r="K3" s="20">
        <f>K2*$G$3</f>
        <v>4</v>
      </c>
      <c r="L3" s="20">
        <f>L2*$G$3</f>
        <v>5</v>
      </c>
      <c r="M3" s="2"/>
      <c r="O3" s="18"/>
    </row>
    <row r="4" spans="1:258" ht="24.95" customHeight="1">
      <c r="B4" s="34" t="s">
        <v>102</v>
      </c>
      <c r="C4" s="33" t="s">
        <v>103</v>
      </c>
      <c r="D4" s="32" t="s">
        <v>104</v>
      </c>
      <c r="E4" s="2"/>
      <c r="G4" s="7">
        <v>2</v>
      </c>
      <c r="H4" s="31">
        <f>H2*$G$4</f>
        <v>2</v>
      </c>
      <c r="I4" s="20">
        <f>I2*$G$4</f>
        <v>4</v>
      </c>
      <c r="J4" s="20">
        <f>J2*$G$4</f>
        <v>6</v>
      </c>
      <c r="K4" s="20">
        <f>K2*$G$4</f>
        <v>8</v>
      </c>
      <c r="L4" s="13">
        <f>L2*$G$4</f>
        <v>10</v>
      </c>
      <c r="M4" s="2"/>
      <c r="O4" s="18"/>
    </row>
    <row r="5" spans="1:258" ht="24.95" customHeight="1">
      <c r="B5" s="28" t="s">
        <v>105</v>
      </c>
      <c r="C5" s="27" t="s">
        <v>106</v>
      </c>
      <c r="D5" s="26" t="s">
        <v>107</v>
      </c>
      <c r="E5" s="2"/>
      <c r="G5" s="7">
        <v>4</v>
      </c>
      <c r="H5" s="20">
        <f>H2*$G$5</f>
        <v>4</v>
      </c>
      <c r="I5" s="20">
        <f>I2*$G$5</f>
        <v>8</v>
      </c>
      <c r="J5" s="13">
        <f>J2*$G$5</f>
        <v>12</v>
      </c>
      <c r="K5" s="13">
        <f>K2*$G$5</f>
        <v>16</v>
      </c>
      <c r="L5" s="12">
        <f>L2*$G$5</f>
        <v>20</v>
      </c>
      <c r="M5" s="2"/>
      <c r="O5" s="18"/>
    </row>
    <row r="6" spans="1:258" ht="24.95" customHeight="1">
      <c r="B6" s="23" t="s">
        <v>108</v>
      </c>
      <c r="C6" s="22" t="s">
        <v>109</v>
      </c>
      <c r="D6" s="21" t="s">
        <v>110</v>
      </c>
      <c r="E6" s="2"/>
      <c r="G6" s="7">
        <v>8</v>
      </c>
      <c r="H6" s="20">
        <f>H2*$G$6</f>
        <v>8</v>
      </c>
      <c r="I6" s="13">
        <f>I2*$G$6</f>
        <v>16</v>
      </c>
      <c r="J6" s="12">
        <f>J2*$G$6</f>
        <v>24</v>
      </c>
      <c r="K6" s="12">
        <f>K2*$G$6</f>
        <v>32</v>
      </c>
      <c r="L6" s="11">
        <f>L2*$G$6</f>
        <v>40</v>
      </c>
      <c r="M6" s="2"/>
      <c r="O6" s="18"/>
    </row>
    <row r="7" spans="1:258" ht="24.95" customHeight="1">
      <c r="B7" s="16" t="s">
        <v>111</v>
      </c>
      <c r="C7" s="15" t="s">
        <v>112</v>
      </c>
      <c r="D7" s="14" t="s">
        <v>113</v>
      </c>
      <c r="G7" s="7">
        <v>16</v>
      </c>
      <c r="H7" s="13">
        <f>H2*$G$7</f>
        <v>16</v>
      </c>
      <c r="I7" s="12">
        <f>I2*$G$7</f>
        <v>32</v>
      </c>
      <c r="J7" s="11">
        <f>J2*$G$7</f>
        <v>48</v>
      </c>
      <c r="K7" s="11">
        <f>K2*$G$7</f>
        <v>64</v>
      </c>
      <c r="L7" s="11">
        <f>L2*$G$7</f>
        <v>80</v>
      </c>
      <c r="O7" s="9"/>
    </row>
    <row r="8" spans="1:258" ht="16.5" thickBot="1">
      <c r="G8" s="7"/>
      <c r="H8" s="7"/>
      <c r="I8" s="7"/>
      <c r="J8" s="7"/>
      <c r="K8" s="7"/>
      <c r="L8" s="7"/>
    </row>
    <row r="9" spans="1:258" ht="24.95" customHeight="1">
      <c r="B9" s="40" t="s">
        <v>114</v>
      </c>
      <c r="C9" s="40" t="s">
        <v>115</v>
      </c>
    </row>
    <row r="10" spans="1:258" ht="24.95" customHeight="1">
      <c r="B10" s="36">
        <v>1</v>
      </c>
      <c r="C10" s="35">
        <v>1</v>
      </c>
    </row>
    <row r="11" spans="1:258" ht="24.95" customHeight="1">
      <c r="B11" s="30">
        <v>2</v>
      </c>
      <c r="C11" s="29">
        <v>2</v>
      </c>
    </row>
    <row r="12" spans="1:258" ht="24.95" customHeight="1">
      <c r="B12" s="25">
        <v>3</v>
      </c>
      <c r="C12" s="24">
        <v>4</v>
      </c>
    </row>
    <row r="13" spans="1:258" ht="24.95" customHeight="1">
      <c r="B13" s="19">
        <v>4</v>
      </c>
      <c r="C13" s="17">
        <v>8</v>
      </c>
    </row>
    <row r="14" spans="1:258" ht="24.95" customHeight="1">
      <c r="B14" s="10">
        <v>5</v>
      </c>
      <c r="C14" s="8">
        <v>16</v>
      </c>
    </row>
    <row r="16" spans="1:258" ht="44.1" customHeight="1" thickBot="1">
      <c r="B16" s="62" t="s">
        <v>116</v>
      </c>
    </row>
    <row r="17" spans="2:2" ht="24.95" customHeight="1">
      <c r="B17" s="44" t="s">
        <v>5</v>
      </c>
    </row>
    <row r="18" spans="2:2" ht="24.95" customHeight="1">
      <c r="B18" s="59" t="s">
        <v>117</v>
      </c>
    </row>
    <row r="19" spans="2:2" ht="24.95" customHeight="1">
      <c r="B19" s="59" t="s">
        <v>81</v>
      </c>
    </row>
    <row r="20" spans="2:2" ht="24.95" customHeight="1">
      <c r="B20" s="59" t="s">
        <v>65</v>
      </c>
    </row>
    <row r="21" spans="2:2" ht="24.95" customHeight="1">
      <c r="B21" s="59" t="s">
        <v>57</v>
      </c>
    </row>
    <row r="22" spans="2:2" ht="24.95" customHeight="1">
      <c r="B22" s="59" t="s">
        <v>46</v>
      </c>
    </row>
    <row r="23" spans="2:2" ht="24.95" customHeight="1">
      <c r="B23" s="59" t="s">
        <v>24</v>
      </c>
    </row>
    <row r="24" spans="2:2" ht="24.95" customHeight="1">
      <c r="B24" s="59" t="s">
        <v>90</v>
      </c>
    </row>
    <row r="25" spans="2:2" ht="24.95" customHeight="1">
      <c r="B25" s="59" t="s">
        <v>118</v>
      </c>
    </row>
    <row r="26" spans="2:2" ht="24.95" customHeight="1">
      <c r="B26" s="59" t="s">
        <v>119</v>
      </c>
    </row>
    <row r="27" spans="2:2" ht="24.95" customHeight="1">
      <c r="B27" s="59" t="s">
        <v>120</v>
      </c>
    </row>
  </sheetData>
  <pageMargins left="0.7" right="0.7" top="0.75" bottom="0.75" header="0.3" footer="0.3"/>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ragaz</dc:creator>
  <cp:keywords/>
  <dc:description/>
  <cp:lastModifiedBy>Hardie Mikayla Rose</cp:lastModifiedBy>
  <cp:revision/>
  <dcterms:created xsi:type="dcterms:W3CDTF">2016-05-31T16:01:17Z</dcterms:created>
  <dcterms:modified xsi:type="dcterms:W3CDTF">2026-05-26T23:04:13Z</dcterms:modified>
  <cp:category/>
  <cp:contentStatus/>
</cp:coreProperties>
</file>